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17"/>
  <workbookPr/>
  <mc:AlternateContent xmlns:mc="http://schemas.openxmlformats.org/markup-compatibility/2006">
    <mc:Choice Requires="x15">
      <x15ac:absPath xmlns:x15ac="http://schemas.microsoft.com/office/spreadsheetml/2010/11/ac" url="C:\Users\lsilv\OneDrive\Documents\GitHub\excel-lab-templates\"/>
    </mc:Choice>
  </mc:AlternateContent>
  <xr:revisionPtr revIDLastSave="0" documentId="13_ncr:1_{0449D49D-962A-4807-8BAF-A47CE17C5604}" xr6:coauthVersionLast="47" xr6:coauthVersionMax="47" xr10:uidLastSave="{00000000-0000-0000-0000-000000000000}"/>
  <bookViews>
    <workbookView xWindow="8460" yWindow="1650" windowWidth="18000" windowHeight="13650" activeTab="3" xr2:uid="{E25A5E7A-9904-4F71-8E0E-1DDF81EF21D6}"/>
  </bookViews>
  <sheets>
    <sheet name="data" sheetId="1" r:id="rId1"/>
    <sheet name="summary" sheetId="2" r:id="rId2"/>
    <sheet name="notes" sheetId="3" r:id="rId3"/>
    <sheet name="tidy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" i="2" l="1"/>
  <c r="B15" i="2"/>
  <c r="B14" i="2"/>
  <c r="B9" i="2"/>
  <c r="B12" i="2" s="1"/>
  <c r="B8" i="2"/>
  <c r="B11" i="2" s="1"/>
  <c r="B7" i="2"/>
  <c r="B10" i="2" s="1"/>
  <c r="B4" i="2"/>
  <c r="B3" i="2"/>
  <c r="B2" i="2"/>
</calcChain>
</file>

<file path=xl/sharedStrings.xml><?xml version="1.0" encoding="utf-8"?>
<sst xmlns="http://schemas.openxmlformats.org/spreadsheetml/2006/main" count="28" uniqueCount="24">
  <si>
    <t>lane</t>
  </si>
  <si>
    <t>total_protein</t>
  </si>
  <si>
    <t>gh2ax</t>
  </si>
  <si>
    <t>etoh</t>
  </si>
  <si>
    <t>4ht</t>
  </si>
  <si>
    <t>biological_group</t>
  </si>
  <si>
    <t>biological_replicate</t>
  </si>
  <si>
    <t>std-4ht</t>
  </si>
  <si>
    <t>se-4ht</t>
  </si>
  <si>
    <t>std-etoh</t>
  </si>
  <si>
    <t>se-etoh</t>
  </si>
  <si>
    <t>h2o2</t>
  </si>
  <si>
    <t>norm.g2hax</t>
  </si>
  <si>
    <t>replicates</t>
  </si>
  <si>
    <t>std-h2o2</t>
  </si>
  <si>
    <t>se-h2o2</t>
  </si>
  <si>
    <t>t.test-4ht</t>
  </si>
  <si>
    <t>t.test-h2o2</t>
  </si>
  <si>
    <t>experiment_label</t>
  </si>
  <si>
    <t>ab_primary</t>
  </si>
  <si>
    <t>quantification_method</t>
  </si>
  <si>
    <t>target1</t>
  </si>
  <si>
    <t>normalized_target1</t>
  </si>
  <si>
    <t>sample_time_point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</si>
</sst>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Helvetica LT Std"/>
      <family val="2"/>
    </font>
    <font>
      <sz val="8"/>
      <name val="Helvetica LT Std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western blot 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summary!$A$2</c:f>
              <c:strCache>
                <c:ptCount val="1"/>
                <c:pt idx="0">
                  <c:v>etoh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summary!$B$10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plus>
            <c:minus>
              <c:numRef>
                <c:f>summary!$B$10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summary!$B$1</c:f>
              <c:strCache>
                <c:ptCount val="1"/>
                <c:pt idx="0">
                  <c:v>target1</c:v>
                </c:pt>
              </c:strCache>
            </c:strRef>
          </c:cat>
          <c:val>
            <c:numRef>
              <c:f>summary!$B$2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E8A-A0BF-92DC4B9B9F32}"/>
            </c:ext>
          </c:extLst>
        </c:ser>
        <c:ser>
          <c:idx val="1"/>
          <c:order val="1"/>
          <c:tx>
            <c:strRef>
              <c:f>summary!$A$3</c:f>
              <c:strCache>
                <c:ptCount val="1"/>
                <c:pt idx="0">
                  <c:v>4ht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summary!$B$11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plus>
            <c:minus>
              <c:numRef>
                <c:f>summary!$B$11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summary!$B$1</c:f>
              <c:strCache>
                <c:ptCount val="1"/>
                <c:pt idx="0">
                  <c:v>target1</c:v>
                </c:pt>
              </c:strCache>
            </c:strRef>
          </c:cat>
          <c:val>
            <c:numRef>
              <c:f>summary!$B$3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E8A-A0BF-92DC4B9B9F32}"/>
            </c:ext>
          </c:extLst>
        </c:ser>
        <c:ser>
          <c:idx val="2"/>
          <c:order val="2"/>
          <c:tx>
            <c:strRef>
              <c:f>summary!$A$4</c:f>
              <c:strCache>
                <c:ptCount val="1"/>
                <c:pt idx="0">
                  <c:v>h2o2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summary!$B$12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plus>
            <c:minus>
              <c:numRef>
                <c:f>summary!$B$12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summary!$B$1</c:f>
              <c:strCache>
                <c:ptCount val="1"/>
                <c:pt idx="0">
                  <c:v>target1</c:v>
                </c:pt>
              </c:strCache>
            </c:strRef>
          </c:cat>
          <c:val>
            <c:numRef>
              <c:f>summary!$B$4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3D-44B7-B8AF-99753978A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9766608"/>
        <c:axId val="1949760784"/>
      </c:barChart>
      <c:catAx>
        <c:axId val="194976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760784"/>
        <c:crosses val="autoZero"/>
        <c:auto val="1"/>
        <c:lblAlgn val="ctr"/>
        <c:lblOffset val="100"/>
        <c:noMultiLvlLbl val="0"/>
      </c:catAx>
      <c:valAx>
        <c:axId val="194976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76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17</xdr:row>
      <xdr:rowOff>104775</xdr:rowOff>
    </xdr:from>
    <xdr:to>
      <xdr:col>8</xdr:col>
      <xdr:colOff>419100</xdr:colOff>
      <xdr:row>32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CFC614-E0FD-484B-85E8-8284109865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april">
      <a:dk1>
        <a:srgbClr val="2C2A29"/>
      </a:dk1>
      <a:lt1>
        <a:sysClr val="window" lastClr="FFFFFF"/>
      </a:lt1>
      <a:dk2>
        <a:srgbClr val="53565A"/>
      </a:dk2>
      <a:lt2>
        <a:srgbClr val="BFBFC0"/>
      </a:lt2>
      <a:accent1>
        <a:srgbClr val="53565A"/>
      </a:accent1>
      <a:accent2>
        <a:srgbClr val="009FDF"/>
      </a:accent2>
      <a:accent3>
        <a:srgbClr val="00AB84"/>
      </a:accent3>
      <a:accent4>
        <a:srgbClr val="EF3340"/>
      </a:accent4>
      <a:accent5>
        <a:srgbClr val="FAE100"/>
      </a:accent5>
      <a:accent6>
        <a:srgbClr val="D62598"/>
      </a:accent6>
      <a:hlink>
        <a:srgbClr val="009FDF"/>
      </a:hlink>
      <a:folHlink>
        <a:srgbClr val="00564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F835-A2B4-4930-80F1-C650E52D8ECA}">
  <dimension ref="A1:G11"/>
  <sheetViews>
    <sheetView workbookViewId="0">
      <selection activeCell="E2" sqref="E2"/>
    </sheetView>
  </sheetViews>
  <sheetFormatPr defaultRowHeight="14.25" x14ac:dyDescent="0.2"/>
  <cols>
    <col min="3" max="3" width="16.375" bestFit="1" customWidth="1"/>
    <col min="4" max="4" width="32.75" bestFit="1" customWidth="1"/>
    <col min="5" max="5" width="11.875" bestFit="1" customWidth="1"/>
    <col min="6" max="6" width="11.875" customWidth="1"/>
    <col min="7" max="7" width="11.75" bestFit="1" customWidth="1"/>
    <col min="8" max="8" width="10.5" bestFit="1" customWidth="1"/>
  </cols>
  <sheetData>
    <row r="1" spans="1:7" x14ac:dyDescent="0.2">
      <c r="A1" t="s">
        <v>0</v>
      </c>
      <c r="B1" t="s">
        <v>5</v>
      </c>
      <c r="C1" t="s">
        <v>6</v>
      </c>
      <c r="D1" t="s">
        <v>1</v>
      </c>
      <c r="E1" t="s">
        <v>21</v>
      </c>
      <c r="G1" t="s">
        <v>22</v>
      </c>
    </row>
    <row r="2" spans="1:7" x14ac:dyDescent="0.2">
      <c r="A2">
        <v>1</v>
      </c>
      <c r="C2" s="2"/>
    </row>
    <row r="3" spans="1:7" x14ac:dyDescent="0.2">
      <c r="A3">
        <v>3</v>
      </c>
      <c r="C3" s="2"/>
    </row>
    <row r="4" spans="1:7" x14ac:dyDescent="0.2">
      <c r="A4">
        <v>5</v>
      </c>
      <c r="C4" s="2"/>
    </row>
    <row r="5" spans="1:7" x14ac:dyDescent="0.2">
      <c r="A5">
        <v>2</v>
      </c>
      <c r="C5" s="2"/>
    </row>
    <row r="6" spans="1:7" x14ac:dyDescent="0.2">
      <c r="A6">
        <v>4</v>
      </c>
      <c r="C6" s="2"/>
    </row>
    <row r="7" spans="1:7" x14ac:dyDescent="0.2">
      <c r="A7">
        <v>6</v>
      </c>
      <c r="C7" s="2"/>
    </row>
    <row r="8" spans="1:7" x14ac:dyDescent="0.2">
      <c r="A8">
        <v>6</v>
      </c>
      <c r="C8" s="2"/>
    </row>
    <row r="9" spans="1:7" x14ac:dyDescent="0.2">
      <c r="A9">
        <v>7</v>
      </c>
      <c r="C9" s="2"/>
    </row>
    <row r="10" spans="1:7" x14ac:dyDescent="0.2">
      <c r="A10">
        <v>8</v>
      </c>
      <c r="C10" s="2"/>
    </row>
    <row r="11" spans="1:7" x14ac:dyDescent="0.2">
      <c r="C1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8CBFE-B228-4C0C-B8E8-6CFB97469B92}">
  <dimension ref="A1:C15"/>
  <sheetViews>
    <sheetView workbookViewId="0">
      <selection activeCell="B2" sqref="B2"/>
    </sheetView>
  </sheetViews>
  <sheetFormatPr defaultRowHeight="14.25" x14ac:dyDescent="0.2"/>
  <cols>
    <col min="1" max="1" width="9.5" bestFit="1" customWidth="1"/>
  </cols>
  <sheetData>
    <row r="1" spans="1:3" x14ac:dyDescent="0.2">
      <c r="B1" t="str">
        <f>data!E1</f>
        <v>target1</v>
      </c>
    </row>
    <row r="2" spans="1:3" x14ac:dyDescent="0.2">
      <c r="A2" t="s">
        <v>3</v>
      </c>
      <c r="B2" t="e">
        <f>AVERAGE(data!G2:G4)/AVERAGE(data!G$2:G$4)</f>
        <v>#DIV/0!</v>
      </c>
    </row>
    <row r="3" spans="1:3" x14ac:dyDescent="0.2">
      <c r="A3" t="s">
        <v>4</v>
      </c>
      <c r="B3" t="e">
        <f>AVERAGE(data!G5:G7)/AVERAGE(data!G$2:G$4)</f>
        <v>#DIV/0!</v>
      </c>
      <c r="C3" s="1"/>
    </row>
    <row r="4" spans="1:3" x14ac:dyDescent="0.2">
      <c r="A4" t="s">
        <v>11</v>
      </c>
      <c r="B4" t="e">
        <f>AVERAGE(data!G8:G10)/AVERAGE(data!G$2:G$4)</f>
        <v>#DIV/0!</v>
      </c>
      <c r="C4" s="1"/>
    </row>
    <row r="5" spans="1:3" x14ac:dyDescent="0.2">
      <c r="C5" s="1"/>
    </row>
    <row r="6" spans="1:3" x14ac:dyDescent="0.2">
      <c r="A6" t="s">
        <v>13</v>
      </c>
      <c r="B6">
        <v>3</v>
      </c>
      <c r="C6" s="1"/>
    </row>
    <row r="7" spans="1:3" x14ac:dyDescent="0.2">
      <c r="A7" t="s">
        <v>9</v>
      </c>
      <c r="B7" s="1" t="e">
        <f>_xlfn.STDEV.S(data!G2:G4)</f>
        <v>#DIV/0!</v>
      </c>
      <c r="C7" s="1"/>
    </row>
    <row r="8" spans="1:3" x14ac:dyDescent="0.2">
      <c r="A8" t="s">
        <v>7</v>
      </c>
      <c r="B8" s="1" t="e">
        <f>_xlfn.STDEV.S(data!G6:G8)</f>
        <v>#DIV/0!</v>
      </c>
      <c r="C8" s="1"/>
    </row>
    <row r="9" spans="1:3" x14ac:dyDescent="0.2">
      <c r="A9" t="s">
        <v>14</v>
      </c>
      <c r="B9" s="1" t="e">
        <f>_xlfn.STDEV.S(data!G8:G10)</f>
        <v>#DIV/0!</v>
      </c>
      <c r="C9" s="1"/>
    </row>
    <row r="10" spans="1:3" x14ac:dyDescent="0.2">
      <c r="A10" t="s">
        <v>10</v>
      </c>
      <c r="B10" s="1" t="e">
        <f>B7/B$6</f>
        <v>#DIV/0!</v>
      </c>
      <c r="C10" s="1"/>
    </row>
    <row r="11" spans="1:3" x14ac:dyDescent="0.2">
      <c r="A11" t="s">
        <v>8</v>
      </c>
      <c r="B11" s="1" t="e">
        <f>B8/B$6</f>
        <v>#DIV/0!</v>
      </c>
      <c r="C11" s="1"/>
    </row>
    <row r="12" spans="1:3" x14ac:dyDescent="0.2">
      <c r="A12" t="s">
        <v>15</v>
      </c>
      <c r="B12" s="1" t="e">
        <f>B9/B$6</f>
        <v>#DIV/0!</v>
      </c>
    </row>
    <row r="13" spans="1:3" x14ac:dyDescent="0.2">
      <c r="B13" s="1"/>
      <c r="C13" s="1"/>
    </row>
    <row r="14" spans="1:3" x14ac:dyDescent="0.2">
      <c r="A14" t="s">
        <v>16</v>
      </c>
      <c r="B14" s="1" t="e">
        <f>_xlfn.T.TEST(data!G2:G4,data!G5:'data'!G5:G7,2,2)</f>
        <v>#DIV/0!</v>
      </c>
    </row>
    <row r="15" spans="1:3" x14ac:dyDescent="0.2">
      <c r="A15" t="s">
        <v>17</v>
      </c>
      <c r="B15" s="1" t="e">
        <f>_xlfn.T.TEST(data!G2:G4,data!G8:G10,2,2)</f>
        <v>#DIV/0!</v>
      </c>
      <c r="C15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A4BFC-2253-47AE-B5BC-69A8D79A06C2}">
  <dimension ref="A1"/>
  <sheetViews>
    <sheetView workbookViewId="0">
      <selection activeCell="B4" sqref="B4"/>
    </sheetView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1A609-2C1A-4F74-A03F-6FBDB43D7B13}">
  <dimension ref="A1:J1"/>
  <sheetViews>
    <sheetView tabSelected="1" workbookViewId="0">
      <selection activeCell="D2" sqref="D2"/>
    </sheetView>
  </sheetViews>
  <sheetFormatPr defaultRowHeight="14.25" x14ac:dyDescent="0.2"/>
  <cols>
    <col min="1" max="1" width="14.75" bestFit="1" customWidth="1"/>
    <col min="2" max="2" width="4.25" bestFit="1" customWidth="1"/>
    <col min="3" max="3" width="14.125" bestFit="1" customWidth="1"/>
    <col min="4" max="4" width="16.125" bestFit="1" customWidth="1"/>
    <col min="5" max="5" width="16.375" bestFit="1" customWidth="1"/>
    <col min="6" max="6" width="10.875" bestFit="1" customWidth="1"/>
    <col min="7" max="7" width="8.875" bestFit="1" customWidth="1"/>
    <col min="8" max="8" width="11.875" bestFit="1" customWidth="1"/>
    <col min="9" max="9" width="11.5" bestFit="1" customWidth="1"/>
    <col min="10" max="10" width="13.125" bestFit="1" customWidth="1"/>
  </cols>
  <sheetData>
    <row r="1" spans="1:10" x14ac:dyDescent="0.2">
      <c r="A1" t="s">
        <v>18</v>
      </c>
      <c r="B1" t="s">
        <v>0</v>
      </c>
      <c r="C1" t="s">
        <v>5</v>
      </c>
      <c r="D1" t="s">
        <v>23</v>
      </c>
      <c r="E1" t="s">
        <v>6</v>
      </c>
      <c r="F1" t="s">
        <v>1</v>
      </c>
      <c r="G1" t="s">
        <v>2</v>
      </c>
      <c r="H1" t="s">
        <v>12</v>
      </c>
      <c r="I1" t="s">
        <v>20</v>
      </c>
      <c r="J1" t="s">
        <v>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summary</vt:lpstr>
      <vt:lpstr>notes</vt:lpstr>
      <vt:lpstr>tidy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Mendes-Silva</cp:lastModifiedBy>
  <dcterms:created xsi:type="dcterms:W3CDTF">2021-03-30T21:51:32Z</dcterms:created>
  <dcterms:modified xsi:type="dcterms:W3CDTF">2021-05-24T15:37:11Z</dcterms:modified>
</cp:coreProperties>
</file>