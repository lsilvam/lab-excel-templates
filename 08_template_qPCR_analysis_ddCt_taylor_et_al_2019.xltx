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19"/>
  <workbookPr/>
  <mc:AlternateContent xmlns:mc="http://schemas.openxmlformats.org/markup-compatibility/2006">
    <mc:Choice Requires="x15">
      <x15ac:absPath xmlns:x15ac="http://schemas.microsoft.com/office/spreadsheetml/2010/11/ac" url="C:\Users\lsilv\OneDrive\Documents\Custom Office Templates\"/>
    </mc:Choice>
  </mc:AlternateContent>
  <xr:revisionPtr revIDLastSave="0" documentId="13_ncr:1_{696E0443-0CC0-477A-8320-D3738A33D304}" xr6:coauthVersionLast="45" xr6:coauthVersionMax="45" xr10:uidLastSave="{00000000-0000-0000-0000-000000000000}"/>
  <bookViews>
    <workbookView xWindow="-120" yWindow="-120" windowWidth="29040" windowHeight="15990" xr2:uid="{AF6E65D2-7BA9-4BA1-816F-70C278DE8DF5}"/>
  </bookViews>
  <sheets>
    <sheet name="taylor_et_al_2019_WithEff_1ref" sheetId="5" r:id="rId1"/>
    <sheet name="taylor_et_al_2019_withEff." sheetId="4" state="hidden" r:id="rId2"/>
    <sheet name="taylor_et_al_2019" sheetId="1" r:id="rId3"/>
    <sheet name="Statistics" sheetId="3" r:id="rId4"/>
    <sheet name="error_propagation_mahmoud" sheetId="2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5" i="5" l="1"/>
  <c r="A26" i="5"/>
  <c r="A27" i="5"/>
  <c r="A28" i="5"/>
  <c r="A29" i="5"/>
  <c r="A24" i="5"/>
  <c r="D22" i="5"/>
  <c r="C26" i="5" s="1"/>
  <c r="D28" i="1"/>
  <c r="Y19" i="5"/>
  <c r="Y18" i="5"/>
  <c r="Y17" i="5"/>
  <c r="Y16" i="5"/>
  <c r="Y15" i="5"/>
  <c r="Y14" i="5"/>
  <c r="Y13" i="5"/>
  <c r="Y12" i="5"/>
  <c r="Y11" i="5"/>
  <c r="Y10" i="5"/>
  <c r="Y9" i="5"/>
  <c r="Y8" i="5"/>
  <c r="Y3" i="5"/>
  <c r="Y4" i="5"/>
  <c r="Y5" i="5"/>
  <c r="Y6" i="5"/>
  <c r="Y7" i="5"/>
  <c r="Y2" i="5"/>
  <c r="V14" i="1"/>
  <c r="U14" i="1"/>
  <c r="G29" i="5"/>
  <c r="F29" i="5"/>
  <c r="F19" i="5"/>
  <c r="F18" i="5"/>
  <c r="AA17" i="5"/>
  <c r="F17" i="5"/>
  <c r="F16" i="5"/>
  <c r="F15" i="5"/>
  <c r="AA14" i="5"/>
  <c r="F14" i="5"/>
  <c r="G14" i="5" s="1"/>
  <c r="H16" i="5" s="1"/>
  <c r="I16" i="5" s="1"/>
  <c r="F13" i="5"/>
  <c r="F12" i="5"/>
  <c r="AA11" i="5"/>
  <c r="F11" i="5"/>
  <c r="F10" i="5"/>
  <c r="F9" i="5"/>
  <c r="AA8" i="5"/>
  <c r="F8" i="5"/>
  <c r="F7" i="5"/>
  <c r="F6" i="5"/>
  <c r="F5" i="5"/>
  <c r="F4" i="5"/>
  <c r="F3" i="5"/>
  <c r="F2" i="5"/>
  <c r="G2" i="5" s="1"/>
  <c r="J14" i="4"/>
  <c r="J15" i="4"/>
  <c r="J16" i="4"/>
  <c r="J17" i="4"/>
  <c r="J18" i="4"/>
  <c r="J19" i="4"/>
  <c r="C29" i="5" l="1"/>
  <c r="C28" i="5"/>
  <c r="C25" i="5"/>
  <c r="C27" i="5"/>
  <c r="C24" i="5"/>
  <c r="G17" i="5"/>
  <c r="H7" i="5"/>
  <c r="I7" i="5" s="1"/>
  <c r="J13" i="5" s="1"/>
  <c r="H2" i="5"/>
  <c r="I2" i="5" s="1"/>
  <c r="J8" i="5" s="1"/>
  <c r="H3" i="5"/>
  <c r="I3" i="5" s="1"/>
  <c r="J9" i="5" s="1"/>
  <c r="H4" i="5"/>
  <c r="I4" i="5" s="1"/>
  <c r="J10" i="5" s="1"/>
  <c r="H6" i="5"/>
  <c r="I6" i="5" s="1"/>
  <c r="J12" i="5" s="1"/>
  <c r="H5" i="5"/>
  <c r="I5" i="5" s="1"/>
  <c r="J11" i="5" s="1"/>
  <c r="H15" i="5"/>
  <c r="I15" i="5" s="1"/>
  <c r="G8" i="5"/>
  <c r="H14" i="5"/>
  <c r="I14" i="5" s="1"/>
  <c r="H19" i="5"/>
  <c r="I19" i="5" s="1"/>
  <c r="H18" i="5"/>
  <c r="I18" i="5" s="1"/>
  <c r="G11" i="5"/>
  <c r="H17" i="5"/>
  <c r="I17" i="5" s="1"/>
  <c r="R23" i="1"/>
  <c r="Q23" i="1"/>
  <c r="R20" i="1"/>
  <c r="Q20" i="1"/>
  <c r="R17" i="1"/>
  <c r="Q17" i="1"/>
  <c r="R14" i="1"/>
  <c r="Q14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" i="1"/>
  <c r="G35" i="4"/>
  <c r="F35" i="4"/>
  <c r="C35" i="4"/>
  <c r="A35" i="4"/>
  <c r="C34" i="4"/>
  <c r="A34" i="4"/>
  <c r="C33" i="4"/>
  <c r="A33" i="4"/>
  <c r="C32" i="4"/>
  <c r="A32" i="4"/>
  <c r="C31" i="4"/>
  <c r="A31" i="4"/>
  <c r="C30" i="4"/>
  <c r="A30" i="4"/>
  <c r="D28" i="4"/>
  <c r="F25" i="4"/>
  <c r="F24" i="4"/>
  <c r="AA23" i="4"/>
  <c r="F23" i="4"/>
  <c r="F22" i="4"/>
  <c r="G20" i="4" s="1"/>
  <c r="F21" i="4"/>
  <c r="Y21" i="4" s="1"/>
  <c r="AA20" i="4"/>
  <c r="F20" i="4"/>
  <c r="F19" i="4"/>
  <c r="F18" i="4"/>
  <c r="AA17" i="4"/>
  <c r="G17" i="4"/>
  <c r="F17" i="4"/>
  <c r="F16" i="4"/>
  <c r="Y16" i="4" s="1"/>
  <c r="F15" i="4"/>
  <c r="AA14" i="4"/>
  <c r="G14" i="4"/>
  <c r="H19" i="4" s="1"/>
  <c r="I19" i="4" s="1"/>
  <c r="F14" i="4"/>
  <c r="Y14" i="4" s="1"/>
  <c r="F13" i="4"/>
  <c r="F12" i="4"/>
  <c r="F11" i="4"/>
  <c r="Y11" i="4" s="1"/>
  <c r="Y17" i="4" s="1"/>
  <c r="F10" i="4"/>
  <c r="F9" i="4"/>
  <c r="Y9" i="4" s="1"/>
  <c r="F8" i="4"/>
  <c r="G8" i="4" s="1"/>
  <c r="F7" i="4"/>
  <c r="Y13" i="4" s="1"/>
  <c r="F6" i="4"/>
  <c r="Y12" i="4" s="1"/>
  <c r="Y18" i="4" s="1"/>
  <c r="F5" i="4"/>
  <c r="F4" i="4"/>
  <c r="Y10" i="4" s="1"/>
  <c r="Y22" i="4" s="1"/>
  <c r="H3" i="4"/>
  <c r="I3" i="4" s="1"/>
  <c r="F3" i="4"/>
  <c r="G2" i="4"/>
  <c r="H5" i="4" s="1"/>
  <c r="I5" i="4" s="1"/>
  <c r="F2" i="4"/>
  <c r="Y8" i="4" s="1"/>
  <c r="Y20" i="4" s="1"/>
  <c r="K18" i="5" l="1"/>
  <c r="L18" i="5" s="1"/>
  <c r="K19" i="5"/>
  <c r="L19" i="5" s="1"/>
  <c r="K16" i="5"/>
  <c r="L16" i="5" s="1"/>
  <c r="H9" i="5"/>
  <c r="I9" i="5" s="1"/>
  <c r="K9" i="5" s="1"/>
  <c r="L9" i="5" s="1"/>
  <c r="H10" i="5"/>
  <c r="I10" i="5" s="1"/>
  <c r="K10" i="5" s="1"/>
  <c r="L10" i="5" s="1"/>
  <c r="H11" i="5"/>
  <c r="I11" i="5" s="1"/>
  <c r="K11" i="5" s="1"/>
  <c r="H8" i="5"/>
  <c r="I8" i="5" s="1"/>
  <c r="H12" i="5"/>
  <c r="I12" i="5" s="1"/>
  <c r="K12" i="5" s="1"/>
  <c r="L12" i="5" s="1"/>
  <c r="H13" i="5"/>
  <c r="I13" i="5" s="1"/>
  <c r="K13" i="5" s="1"/>
  <c r="L13" i="5" s="1"/>
  <c r="K14" i="5"/>
  <c r="K17" i="5"/>
  <c r="Y24" i="4"/>
  <c r="Y25" i="4"/>
  <c r="Y19" i="4"/>
  <c r="H13" i="4"/>
  <c r="I13" i="4" s="1"/>
  <c r="H11" i="4"/>
  <c r="I11" i="4" s="1"/>
  <c r="H9" i="4"/>
  <c r="I9" i="4" s="1"/>
  <c r="H12" i="4"/>
  <c r="I12" i="4" s="1"/>
  <c r="H8" i="4"/>
  <c r="I8" i="4" s="1"/>
  <c r="H10" i="4"/>
  <c r="I10" i="4" s="1"/>
  <c r="K19" i="4"/>
  <c r="L19" i="4" s="1"/>
  <c r="Y15" i="4"/>
  <c r="H20" i="4"/>
  <c r="I20" i="4" s="1"/>
  <c r="H21" i="4"/>
  <c r="I21" i="4" s="1"/>
  <c r="H22" i="4"/>
  <c r="I22" i="4" s="1"/>
  <c r="H23" i="4"/>
  <c r="I23" i="4" s="1"/>
  <c r="H24" i="4"/>
  <c r="I24" i="4" s="1"/>
  <c r="H25" i="4"/>
  <c r="I25" i="4" s="1"/>
  <c r="Y23" i="4"/>
  <c r="H18" i="4"/>
  <c r="I18" i="4" s="1"/>
  <c r="H6" i="4"/>
  <c r="I6" i="4" s="1"/>
  <c r="H14" i="4"/>
  <c r="I14" i="4" s="1"/>
  <c r="G23" i="4"/>
  <c r="H4" i="4"/>
  <c r="I4" i="4" s="1"/>
  <c r="H7" i="4"/>
  <c r="I7" i="4" s="1"/>
  <c r="H16" i="4"/>
  <c r="I16" i="4" s="1"/>
  <c r="H17" i="4"/>
  <c r="I17" i="4" s="1"/>
  <c r="H15" i="4"/>
  <c r="I15" i="4" s="1"/>
  <c r="H2" i="4"/>
  <c r="I2" i="4" s="1"/>
  <c r="C31" i="1"/>
  <c r="A31" i="1"/>
  <c r="A32" i="1"/>
  <c r="A33" i="1"/>
  <c r="A34" i="1"/>
  <c r="A35" i="1"/>
  <c r="A30" i="1"/>
  <c r="E5" i="3"/>
  <c r="D5" i="3"/>
  <c r="L17" i="5" l="1"/>
  <c r="O17" i="5" s="1"/>
  <c r="P17" i="5" s="1"/>
  <c r="M17" i="5"/>
  <c r="K8" i="5"/>
  <c r="L14" i="5"/>
  <c r="K15" i="5"/>
  <c r="L15" i="5" s="1"/>
  <c r="M11" i="5"/>
  <c r="L11" i="5"/>
  <c r="O11" i="5" s="1"/>
  <c r="P11" i="5" s="1"/>
  <c r="K18" i="4"/>
  <c r="L18" i="4" s="1"/>
  <c r="K25" i="4"/>
  <c r="L25" i="4" s="1"/>
  <c r="K24" i="4"/>
  <c r="L24" i="4" s="1"/>
  <c r="K15" i="4"/>
  <c r="L15" i="4" s="1"/>
  <c r="K23" i="4"/>
  <c r="K22" i="4"/>
  <c r="L22" i="4" s="1"/>
  <c r="K17" i="4"/>
  <c r="K14" i="4"/>
  <c r="K21" i="4"/>
  <c r="L21" i="4" s="1"/>
  <c r="K16" i="4"/>
  <c r="L16" i="4" s="1"/>
  <c r="K20" i="4"/>
  <c r="C30" i="1"/>
  <c r="C35" i="1"/>
  <c r="C34" i="1"/>
  <c r="C33" i="1"/>
  <c r="C32" i="1"/>
  <c r="O14" i="5" l="1"/>
  <c r="P14" i="5" s="1"/>
  <c r="H26" i="5"/>
  <c r="N17" i="5"/>
  <c r="T17" i="5" s="1"/>
  <c r="G35" i="5" s="1"/>
  <c r="M14" i="5"/>
  <c r="L8" i="5"/>
  <c r="M8" i="5"/>
  <c r="G26" i="5"/>
  <c r="N11" i="5"/>
  <c r="S11" i="5" s="1"/>
  <c r="F34" i="5" s="1"/>
  <c r="M17" i="4"/>
  <c r="L17" i="4"/>
  <c r="O17" i="4" s="1"/>
  <c r="P17" i="4" s="1"/>
  <c r="M14" i="4"/>
  <c r="L14" i="4"/>
  <c r="M23" i="4"/>
  <c r="L23" i="4"/>
  <c r="O23" i="4" s="1"/>
  <c r="P23" i="4" s="1"/>
  <c r="M20" i="4"/>
  <c r="L20" i="4"/>
  <c r="O20" i="4" s="1"/>
  <c r="P20" i="4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" i="1"/>
  <c r="T11" i="5" l="1"/>
  <c r="F35" i="5" s="1"/>
  <c r="Q17" i="5"/>
  <c r="R17" i="5"/>
  <c r="G25" i="5"/>
  <c r="N8" i="5"/>
  <c r="N14" i="5"/>
  <c r="H25" i="5"/>
  <c r="T14" i="5"/>
  <c r="G31" i="5" s="1"/>
  <c r="Q11" i="5"/>
  <c r="R11" i="5"/>
  <c r="S17" i="5"/>
  <c r="G34" i="5" s="1"/>
  <c r="V2" i="5"/>
  <c r="V11" i="5" s="1"/>
  <c r="X11" i="5" s="1"/>
  <c r="O8" i="5"/>
  <c r="P8" i="5" s="1"/>
  <c r="T8" i="5" s="1"/>
  <c r="F31" i="5" s="1"/>
  <c r="N20" i="4"/>
  <c r="H31" i="4"/>
  <c r="H32" i="4"/>
  <c r="N23" i="4"/>
  <c r="V2" i="4"/>
  <c r="O14" i="4"/>
  <c r="P14" i="4" s="1"/>
  <c r="N14" i="4"/>
  <c r="G31" i="4"/>
  <c r="G32" i="4"/>
  <c r="N17" i="4"/>
  <c r="S17" i="4" s="1"/>
  <c r="F40" i="4" s="1"/>
  <c r="Y9" i="1"/>
  <c r="Y21" i="1" s="1"/>
  <c r="Y10" i="1"/>
  <c r="Y22" i="1" s="1"/>
  <c r="Y11" i="1"/>
  <c r="Y17" i="1" s="1"/>
  <c r="Y12" i="1"/>
  <c r="Y18" i="1" s="1"/>
  <c r="Y13" i="1"/>
  <c r="Y19" i="1" s="1"/>
  <c r="Y8" i="1"/>
  <c r="Y20" i="1" s="1"/>
  <c r="Q8" i="5" l="1"/>
  <c r="V8" i="5"/>
  <c r="X8" i="5" s="1"/>
  <c r="U8" i="5"/>
  <c r="W8" i="5" s="1"/>
  <c r="R8" i="5"/>
  <c r="Q14" i="5"/>
  <c r="R14" i="5"/>
  <c r="U11" i="5"/>
  <c r="W11" i="5" s="1"/>
  <c r="S14" i="5"/>
  <c r="G30" i="5" s="1"/>
  <c r="S8" i="5"/>
  <c r="F30" i="5" s="1"/>
  <c r="T14" i="4"/>
  <c r="F37" i="4" s="1"/>
  <c r="T17" i="4"/>
  <c r="F41" i="4" s="1"/>
  <c r="R20" i="4"/>
  <c r="Q20" i="4"/>
  <c r="R23" i="4"/>
  <c r="Q23" i="4"/>
  <c r="S23" i="4"/>
  <c r="G40" i="4" s="1"/>
  <c r="T23" i="4"/>
  <c r="G41" i="4" s="1"/>
  <c r="S14" i="4"/>
  <c r="F36" i="4" s="1"/>
  <c r="R17" i="4"/>
  <c r="V17" i="4"/>
  <c r="X17" i="4" s="1"/>
  <c r="U17" i="4"/>
  <c r="W17" i="4" s="1"/>
  <c r="Q17" i="4"/>
  <c r="S20" i="4"/>
  <c r="G36" i="4" s="1"/>
  <c r="V14" i="4"/>
  <c r="X14" i="4" s="1"/>
  <c r="Q14" i="4"/>
  <c r="U14" i="4"/>
  <c r="W14" i="4" s="1"/>
  <c r="R14" i="4"/>
  <c r="T20" i="4"/>
  <c r="G37" i="4" s="1"/>
  <c r="Y15" i="1"/>
  <c r="Y24" i="1"/>
  <c r="Y23" i="1"/>
  <c r="Y16" i="1"/>
  <c r="Y14" i="1"/>
  <c r="Y25" i="1"/>
  <c r="E14" i="3"/>
  <c r="D14" i="3" l="1"/>
  <c r="D15" i="3" l="1"/>
  <c r="E15" i="3"/>
  <c r="E13" i="3"/>
  <c r="D13" i="3"/>
  <c r="G35" i="1" l="1"/>
  <c r="F35" i="1"/>
  <c r="G23" i="1" l="1"/>
  <c r="G17" i="1"/>
  <c r="G20" i="1"/>
  <c r="H21" i="1" l="1"/>
  <c r="H24" i="1"/>
  <c r="H20" i="1"/>
  <c r="H22" i="1"/>
  <c r="H23" i="1"/>
  <c r="H25" i="1"/>
  <c r="D14" i="2"/>
  <c r="E19" i="2" s="1"/>
  <c r="D8" i="2"/>
  <c r="E9" i="2" s="1"/>
  <c r="D2" i="2"/>
  <c r="E5" i="2" s="1"/>
  <c r="E17" i="2" l="1"/>
  <c r="E16" i="2"/>
  <c r="E3" i="2"/>
  <c r="F15" i="2" s="1"/>
  <c r="E4" i="2"/>
  <c r="E18" i="2"/>
  <c r="K19" i="2"/>
  <c r="E15" i="2"/>
  <c r="E13" i="2"/>
  <c r="E8" i="2"/>
  <c r="E7" i="2"/>
  <c r="E11" i="2"/>
  <c r="F17" i="2" s="1"/>
  <c r="E14" i="2"/>
  <c r="E6" i="2"/>
  <c r="E10" i="2"/>
  <c r="F16" i="2" s="1"/>
  <c r="E2" i="2"/>
  <c r="E12" i="2"/>
  <c r="G14" i="1"/>
  <c r="G8" i="1"/>
  <c r="H8" i="1" s="1"/>
  <c r="G2" i="1"/>
  <c r="H3" i="1" s="1"/>
  <c r="H18" i="1" l="1"/>
  <c r="H4" i="1"/>
  <c r="H2" i="1"/>
  <c r="H13" i="1"/>
  <c r="H12" i="1"/>
  <c r="H17" i="1"/>
  <c r="H16" i="1"/>
  <c r="H11" i="1"/>
  <c r="H15" i="1"/>
  <c r="H7" i="1"/>
  <c r="H6" i="1"/>
  <c r="H10" i="1"/>
  <c r="H5" i="1"/>
  <c r="H9" i="1"/>
  <c r="H14" i="1"/>
  <c r="H19" i="1"/>
  <c r="F18" i="2"/>
  <c r="O23" i="2" s="1"/>
  <c r="F14" i="2"/>
  <c r="K18" i="2"/>
  <c r="F19" i="2"/>
  <c r="J14" i="1" l="1"/>
  <c r="O22" i="2"/>
  <c r="G19" i="2"/>
  <c r="H19" i="2" s="1"/>
  <c r="G17" i="2"/>
  <c r="G16" i="2"/>
  <c r="H16" i="2" s="1"/>
  <c r="G14" i="2"/>
  <c r="L18" i="2"/>
  <c r="G15" i="2"/>
  <c r="H15" i="2" s="1"/>
  <c r="J15" i="1"/>
  <c r="G18" i="2"/>
  <c r="H18" i="2" s="1"/>
  <c r="J16" i="1"/>
  <c r="J18" i="1"/>
  <c r="J19" i="1"/>
  <c r="J17" i="1"/>
  <c r="L19" i="2"/>
  <c r="M19" i="2" s="1"/>
  <c r="N19" i="2" s="1"/>
  <c r="H17" i="2"/>
  <c r="H14" i="2"/>
  <c r="M18" i="2"/>
  <c r="K15" i="1" l="1"/>
  <c r="L15" i="1" s="1"/>
  <c r="K20" i="1"/>
  <c r="L20" i="1" s="1"/>
  <c r="K16" i="1"/>
  <c r="L16" i="1" s="1"/>
  <c r="K23" i="1"/>
  <c r="K19" i="1"/>
  <c r="K18" i="1"/>
  <c r="L18" i="1" s="1"/>
  <c r="K17" i="1"/>
  <c r="L17" i="1" s="1"/>
  <c r="K25" i="1"/>
  <c r="L25" i="1" s="1"/>
  <c r="K24" i="1"/>
  <c r="L24" i="1" s="1"/>
  <c r="K14" i="1"/>
  <c r="L14" i="1" s="1"/>
  <c r="K22" i="1"/>
  <c r="L22" i="1" s="1"/>
  <c r="K21" i="1"/>
  <c r="L21" i="1" s="1"/>
  <c r="P19" i="2"/>
  <c r="R19" i="2" s="1"/>
  <c r="T19" i="2" s="1"/>
  <c r="I14" i="2"/>
  <c r="I17" i="2"/>
  <c r="P23" i="2"/>
  <c r="Q19" i="2"/>
  <c r="S19" i="2" s="1"/>
  <c r="N18" i="2"/>
  <c r="P18" i="2" s="1"/>
  <c r="Q18" i="2" s="1"/>
  <c r="M17" i="1" l="1"/>
  <c r="N17" i="1" s="1"/>
  <c r="V2" i="1"/>
  <c r="O14" i="1"/>
  <c r="P14" i="1" s="1"/>
  <c r="M23" i="1"/>
  <c r="N23" i="1" s="1"/>
  <c r="L19" i="1"/>
  <c r="O17" i="1" s="1"/>
  <c r="P17" i="1" s="1"/>
  <c r="M14" i="1"/>
  <c r="G31" i="1" s="1"/>
  <c r="L23" i="1"/>
  <c r="O23" i="1" s="1"/>
  <c r="P23" i="1" s="1"/>
  <c r="M20" i="1"/>
  <c r="H31" i="1" s="1"/>
  <c r="O20" i="1"/>
  <c r="P20" i="1" s="1"/>
  <c r="P22" i="2"/>
  <c r="R23" i="2"/>
  <c r="T23" i="2" s="1"/>
  <c r="Q23" i="2"/>
  <c r="S23" i="2" s="1"/>
  <c r="R18" i="2"/>
  <c r="T18" i="2" s="1"/>
  <c r="S18" i="2"/>
  <c r="G32" i="1" l="1"/>
  <c r="H32" i="1"/>
  <c r="N14" i="1"/>
  <c r="S23" i="1"/>
  <c r="G40" i="1" s="1"/>
  <c r="N20" i="1"/>
  <c r="T23" i="1"/>
  <c r="G41" i="1" s="1"/>
  <c r="R22" i="2"/>
  <c r="T22" i="2" s="1"/>
  <c r="Q22" i="2"/>
  <c r="S22" i="2" s="1"/>
  <c r="T17" i="1"/>
  <c r="F41" i="1" s="1"/>
  <c r="S17" i="1"/>
  <c r="F40" i="1" s="1"/>
  <c r="V17" i="1"/>
  <c r="X17" i="1" s="1"/>
  <c r="U17" i="1"/>
  <c r="W17" i="1" s="1"/>
  <c r="T20" i="1" l="1"/>
  <c r="G37" i="1" s="1"/>
  <c r="X14" i="1"/>
  <c r="W14" i="1"/>
  <c r="S14" i="1"/>
  <c r="F36" i="1" s="1"/>
  <c r="T14" i="1"/>
  <c r="F37" i="1" s="1"/>
  <c r="S20" i="1"/>
  <c r="G3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tc={3373A228-644B-46FB-8ABD-2ED69E3D150C}</author>
    <author>tc={2743C570-41A0-493D-8DA0-6E5EB5F51C4E}</author>
    <author>tc={50D51228-A5AD-4730-9C78-61BA9D073077}</author>
    <author>tc={54C5855D-3D99-484D-9C92-E025FBC8D16F}</author>
    <author>tc={E7000788-D8BA-40D7-A4DC-D90471245073}</author>
    <author>tc={9D1280BD-77E5-4071-B007-845CC510BBCE}</author>
    <author>tc={E2880EC9-FE66-4FF8-8D41-621B1996131A}</author>
    <author>tc={4762B2FE-9380-485D-BDCC-8C85A7FC35CE}</author>
    <author>tc={374F92B4-8515-41A4-B6AB-6E7FA2467A43}</author>
    <author>tc={D5684C35-AFE0-4722-B3DF-328EE7E3B432}</author>
    <author>tc={6C33D0C1-24F8-4149-96CD-19A7507B896A}</author>
    <author>tc={34B27FF6-0195-476A-A0C8-29ED4B497892}</author>
  </authors>
  <commentList>
    <comment ref="O1" authorId="0" shapeId="0" xr:uid="{3373A228-644B-46FB-8ABD-2ED69E3D150C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to account error progapation with: 
'=SQRT(STDEV.S(I14:I16)^2+STDEV.S(I17:I19)^2)'</t>
      </text>
    </comment>
    <comment ref="AA1" authorId="1" shapeId="0" xr:uid="{2743C570-41A0-493D-8DA0-6E5EB5F51C4E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needs to be validated with data</t>
      </text>
    </comment>
    <comment ref="V2" authorId="2" shapeId="0" xr:uid="{50D51228-A5AD-4730-9C78-61BA9D073077}">
      <text>
        <t>[Threaded comment]
Your version of Excel allows you to read this threaded comment; however, any edits to it will get removed if the file is opened in a newer version of Excel. Learn more: https://go.microsoft.com/fwlink/?linkid=870924
Comment:
    =T.INV.2T(0.05,2)</t>
      </text>
    </comment>
    <comment ref="J8" authorId="3" shapeId="0" xr:uid="{54C5855D-3D99-484D-9C92-E025FBC8D16F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needs to be calculated for the 1st target, then. No need to drag this until the end of the data</t>
      </text>
    </comment>
    <comment ref="K8" authorId="4" shapeId="0" xr:uid="{E7000788-D8BA-40D7-A4DC-D9047124507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control for the reference genes is averaged with geommean() and locked to the respective replicates - this allows to copy pastes for the various targets.</t>
      </text>
    </comment>
    <comment ref="Y8" authorId="5" shapeId="0" xr:uid="{9D1280BD-77E5-4071-B007-845CC510BBCE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this set that contains rows if 'untreated' and 'treated' samples to rows below for the other targets</t>
      </text>
    </comment>
    <comment ref="K14" authorId="6" shapeId="0" xr:uid="{E2880EC9-FE66-4FF8-8D41-621B1996131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control for the reference genes is averaged with geommean() and locked to the respective replicates - this allows to copy pastes for the various targets.</t>
      </text>
    </comment>
    <comment ref="Y14" authorId="7" shapeId="0" xr:uid="{4762B2FE-9380-485D-BDCC-8C85A7FC35CE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this set that contains rows if 'untreated' and 'treated' samples to rows below for the other targets</t>
      </text>
    </comment>
    <comment ref="B24" authorId="8" shapeId="0" xr:uid="{374F92B4-8515-41A4-B6AB-6E7FA2467A43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the Cq avarages of the second run reference gene, as values, to this rows</t>
      </text>
    </comment>
    <comment ref="C24" authorId="9" shapeId="0" xr:uid="{D5684C35-AFE0-4722-B3DF-328EE7E3B432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corrected Cq for inter-run calibration. paste back in the correct range in col. F</t>
      </text>
    </comment>
    <comment ref="E31" authorId="10" shapeId="0" xr:uid="{6C33D0C1-24F8-4149-96CD-19A7507B896A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  <comment ref="E35" authorId="11" shapeId="0" xr:uid="{34B27FF6-0195-476A-A0C8-29ED4B497892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tc={D4676AFE-BC15-41BE-A7FB-89916C0880D3}</author>
    <author>tc={1FAFF4F5-8BA3-41CE-9FAB-37BD6F56B298}</author>
    <author>tc={BA2B563B-18ED-4ED5-ABB4-A86661C4825A}</author>
    <author>tc={D7ECD102-246E-40C7-9356-AE917D44B690}</author>
    <author>tc={ECBD58C9-946F-424A-8DFE-C839D1439DF1}</author>
    <author>tc={10E5C010-00C6-48B3-96E0-0FA99FDEECA0}</author>
    <author>tc={4450A4DF-BB69-447E-82DB-0710D8F0C7E5}</author>
    <author>tc={F0E13A67-3571-4E31-885C-565988D45192}</author>
    <author>tc={672F0867-0D8E-452B-8BA3-E6116FC74AA9}</author>
    <author>tc={AC360B33-0125-4B7D-B631-FB67AA42D428}</author>
    <author>tc={5314D152-BA59-4FFB-8F8F-05490391CCFB}</author>
    <author>tc={120269E6-8500-4286-A7E2-2C84FB66A6BE}</author>
  </authors>
  <commentList>
    <comment ref="O1" authorId="0" shapeId="0" xr:uid="{D4676AFE-BC15-41BE-A7FB-89916C0880D3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to account error progapation with: 
'=SQRT(STDEV.S(I14:I16)^2+STDEV.S(I17:I19)^2)'</t>
      </text>
    </comment>
    <comment ref="AA1" authorId="1" shapeId="0" xr:uid="{1FAFF4F5-8BA3-41CE-9FAB-37BD6F56B298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needs to be validated with data</t>
      </text>
    </comment>
    <comment ref="V2" authorId="2" shapeId="0" xr:uid="{BA2B563B-18ED-4ED5-ABB4-A86661C4825A}">
      <text>
        <t>[Threaded comment]
Your version of Excel allows you to read this threaded comment; however, any edits to it will get removed if the file is opened in a newer version of Excel. Learn more: https://go.microsoft.com/fwlink/?linkid=870924
Comment:
    =T.INV.2T(0.05,2)</t>
      </text>
    </comment>
    <comment ref="Y8" authorId="3" shapeId="0" xr:uid="{D7ECD102-246E-40C7-9356-AE917D44B690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cq of the reference gene(s), to calculate the difference ddCt below for each target and condition</t>
      </text>
    </comment>
    <comment ref="J14" authorId="4" shapeId="0" xr:uid="{ECBD58C9-946F-424A-8DFE-C839D1439DF1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needs to be calculated for the 1st target, then. No need to drag this until the end of the data</t>
      </text>
    </comment>
    <comment ref="K14" authorId="5" shapeId="0" xr:uid="{10E5C010-00C6-48B3-96E0-0FA99FDEECA0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control for the reference genes is averaged with geommean() and locked to the respective replicates - this allows to copy pastes for the various targets.</t>
      </text>
    </comment>
    <comment ref="Y14" authorId="6" shapeId="0" xr:uid="{4450A4DF-BB69-447E-82DB-0710D8F0C7E5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this set that contains rows if 'untreated' and 'treated' samples to rows below for the other targets</t>
      </text>
    </comment>
    <comment ref="K20" authorId="7" shapeId="0" xr:uid="{F0E13A67-3571-4E31-885C-565988D45192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control for the reference genes is averaged with geommean() and locked to the respective replicates - this allows to copy pastes for the various targets.</t>
      </text>
    </comment>
    <comment ref="B30" authorId="8" shapeId="0" xr:uid="{672F0867-0D8E-452B-8BA3-E6116FC74AA9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the Cq avarages od the second run, as values, to this rows</t>
      </text>
    </comment>
    <comment ref="C30" authorId="9" shapeId="0" xr:uid="{AC360B33-0125-4B7D-B631-FB67AA42D428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corrected Cq for inter-run calibration. paste back in the correct range in col. F</t>
      </text>
    </comment>
    <comment ref="E37" authorId="10" shapeId="0" xr:uid="{5314D152-BA59-4FFB-8F8F-05490391C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  <comment ref="E41" authorId="11" shapeId="0" xr:uid="{120269E6-8500-4286-A7E2-2C84FB66A6BE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tc={516DF7EA-C538-4623-B576-5D5B93E2F2F9}</author>
    <author>tc={3809F5CE-0E59-472D-83D9-07680B089D4D}</author>
    <author>tc={1CB553DA-CC32-4062-BE31-EA84785BFF7D}</author>
    <author>tc={CA6CF079-0593-44BB-B933-26DC14BA0C80}</author>
    <author>tc={0F5B84F9-1726-4858-9AE6-54C99CF649EE}</author>
    <author>tc={A07AF2A1-3FD4-4FCE-87F2-DBDE63929276}</author>
    <author>tc={C6679326-BB7E-430C-84C7-1F0FFC8029E2}</author>
    <author>tc={C21D1A46-622F-49FE-8409-02BD8B7156A4}</author>
    <author>tc={50F77213-46D8-4409-BB64-FA1D18A0A71A}</author>
    <author>tc={AA42FF70-3852-44F0-A4F5-8BC2D9307D36}</author>
    <author>tc={9868F15A-4402-4D82-BA12-2D94B80C83F6}</author>
  </authors>
  <commentList>
    <comment ref="O1" authorId="0" shapeId="0" xr:uid="{516DF7EA-C538-4623-B576-5D5B93E2F2F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to account error progapation with: 
'=SQRT(STDEV.S(I14:I16)^2+STDEV.S(I17:I19)^2)'</t>
      </text>
    </comment>
    <comment ref="V2" authorId="1" shapeId="0" xr:uid="{3809F5CE-0E59-472D-83D9-07680B089D4D}">
      <text>
        <t>[Threaded comment]
Your version of Excel allows you to read this threaded comment; however, any edits to it will get removed if the file is opened in a newer version of Excel. Learn more: https://go.microsoft.com/fwlink/?linkid=870924
Comment:
    =T.INV.2T(0.05,2)</t>
      </text>
    </comment>
    <comment ref="Y8" authorId="2" shapeId="0" xr:uid="{1CB553DA-CC32-4062-BE31-EA84785BFF7D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cq of the reference gene(s), to calculate the difference ddCt below for each target and condition</t>
      </text>
    </comment>
    <comment ref="J14" authorId="3" shapeId="0" xr:uid="{CA6CF079-0593-44BB-B933-26DC14BA0C80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needs to be calculated for the 1st target, then. No need to drag this until the end of the data</t>
      </text>
    </comment>
    <comment ref="K14" authorId="4" shapeId="0" xr:uid="{0F5B84F9-1726-4858-9AE6-54C99CF649E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control for the reference genes is averaged with geommean() and locked to the respective replicates - this allows to copy pastes for the various targets.</t>
      </text>
    </comment>
    <comment ref="Y14" authorId="5" shapeId="0" xr:uid="{A07AF2A1-3FD4-4FCE-87F2-DBDE63929276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this set that contains rows if 'untreated' and 'treated' samples to rows below for the other targets</t>
      </text>
    </comment>
    <comment ref="K20" authorId="6" shapeId="0" xr:uid="{C6679326-BB7E-430C-84C7-1F0FFC8029E2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control for the reference genes is averaged with geommean() and locked to the respective replicates - this allows to copy pastes for the various targets.</t>
      </text>
    </comment>
    <comment ref="B30" authorId="7" shapeId="0" xr:uid="{C21D1A46-622F-49FE-8409-02BD8B7156A4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the Cq avarages od the second run, as values, to this rows</t>
      </text>
    </comment>
    <comment ref="C30" authorId="8" shapeId="0" xr:uid="{50F77213-46D8-4409-BB64-FA1D18A0A71A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corrected Cq for inter-run calibration. paste back in the correct range in col. F</t>
      </text>
    </comment>
    <comment ref="E37" authorId="9" shapeId="0" xr:uid="{AA42FF70-3852-44F0-A4F5-8BC2D9307D36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  <comment ref="E41" authorId="10" shapeId="0" xr:uid="{9868F15A-4402-4D82-BA12-2D94B80C83F6}">
      <text>
        <t>[Threaded comment]
Your version of Excel allows you to read this threaded comment; however, any edits to it will get removed if the file is opened in a newer version of Excel. Learn more: https://go.microsoft.com/fwlink/?linkid=870924
Comment:
    SEM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tc={264F5867-070E-4B92-AC8E-7B859C26FBB2}</author>
    <author>tc={C8266938-0870-4868-AF94-4030B217872F}</author>
  </authors>
  <commentList>
    <comment ref="J2" authorId="0" shapeId="0" xr:uid="{264F5867-070E-4B92-AC8E-7B859C26FBB2}">
      <text>
        <t>[Threaded comment]
Your version of Excel allows you to read this threaded comment; however, any edits to it will get removed if the file is opened in a newer version of Excel. Learn more: https://go.microsoft.com/fwlink/?linkid=870924
Comment:
    H0: same variance
Reject null H0 F &gt; F critical
To have equal variances F &lt; F critical
Reply:
    Check if the variable with higher variance is the 1st in the output table: the variable with higher variance needs to be the 1st one. Swap if needed.</t>
      </text>
    </comment>
    <comment ref="D5" authorId="1" shapeId="0" xr:uid="{C8266938-0870-4868-AF94-4030B217872F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values from 
Col. Y on "taylor_et_al_2019" sheet</t>
      </text>
    </comment>
  </commentList>
</comments>
</file>

<file path=xl/sharedStrings.xml><?xml version="1.0" encoding="utf-8"?>
<sst xmlns="http://schemas.openxmlformats.org/spreadsheetml/2006/main" count="324" uniqueCount="66">
  <si>
    <t>actin</t>
  </si>
  <si>
    <t>untreat</t>
  </si>
  <si>
    <t>treated</t>
  </si>
  <si>
    <t>hprt</t>
  </si>
  <si>
    <t>der5</t>
  </si>
  <si>
    <t>error bar -</t>
  </si>
  <si>
    <t>error bar +</t>
  </si>
  <si>
    <t>target</t>
  </si>
  <si>
    <t>biogroup_sample</t>
  </si>
  <si>
    <t>mean_cq</t>
  </si>
  <si>
    <t>control_group_avg_cq_per_target</t>
  </si>
  <si>
    <t>dcq_per_sample_per_target</t>
  </si>
  <si>
    <t>relative_aquantity_2^dcq</t>
  </si>
  <si>
    <t>norm_factor_geomean</t>
  </si>
  <si>
    <t>normalized_expression_per_sample (A)</t>
  </si>
  <si>
    <t>log2_normalized_expression (B)</t>
  </si>
  <si>
    <t>biogroup_expression (C)</t>
  </si>
  <si>
    <t>log2_biogroup_expression (D)</t>
  </si>
  <si>
    <t>SEM (F)</t>
  </si>
  <si>
    <t>CI_lower</t>
  </si>
  <si>
    <t>CI_upper</t>
  </si>
  <si>
    <t>std_(B) (E)</t>
  </si>
  <si>
    <t>untreated</t>
  </si>
  <si>
    <t>dct</t>
  </si>
  <si>
    <t>ddct</t>
  </si>
  <si>
    <t>geom_mean ref</t>
  </si>
  <si>
    <t>2^ddct</t>
  </si>
  <si>
    <t>std</t>
  </si>
  <si>
    <t>SEM</t>
  </si>
  <si>
    <t>std ct target</t>
  </si>
  <si>
    <t>std ct ref</t>
  </si>
  <si>
    <t>CI lower</t>
  </si>
  <si>
    <t>CI upper</t>
  </si>
  <si>
    <t>Z</t>
  </si>
  <si>
    <t>t statistic</t>
  </si>
  <si>
    <t>fairly close to pcr_analyze</t>
  </si>
  <si>
    <t>rel_expression</t>
  </si>
  <si>
    <t>reference-1</t>
  </si>
  <si>
    <t>reference-2</t>
  </si>
  <si>
    <t>target-1</t>
  </si>
  <si>
    <t>CI constant</t>
  </si>
  <si>
    <t>trated</t>
  </si>
  <si>
    <t>target-2</t>
  </si>
  <si>
    <t>error_bar_plot_CI_negative</t>
  </si>
  <si>
    <t>error_bar_plot_CI_positive</t>
  </si>
  <si>
    <t>CI_lower_1x</t>
  </si>
  <si>
    <t>CI_upper_1x</t>
  </si>
  <si>
    <t>Taylor, S.C., Nadeau, K., Abbasi, M., Lachance, C., Nguyen, M., and Fenrich, J. (2019). The Ultimate qPCR Experiment: Producing Publication Quality, Reproducible Data the First Time. Trends Biotechnol 37, 761-774.</t>
  </si>
  <si>
    <t>General approach</t>
  </si>
  <si>
    <t>Conversative approach</t>
  </si>
  <si>
    <t>Needs to pass a variance test like …&gt; F-test two samples for variances</t>
  </si>
  <si>
    <t>Data &gt; Analyze: Data Analysis &gt;  t-test two sample assuming equal variances</t>
  </si>
  <si>
    <t>Data &gt; Analyze: Data Analysis &gt;  t-test two sample assuming unequal variances</t>
  </si>
  <si>
    <t>p-value_one-tail</t>
  </si>
  <si>
    <t>p-value_two-tail</t>
  </si>
  <si>
    <t>values for statistics</t>
  </si>
  <si>
    <t>techReplicate-1</t>
  </si>
  <si>
    <t>techReplicate-2</t>
  </si>
  <si>
    <t>techReplicate-3</t>
  </si>
  <si>
    <t>NO</t>
  </si>
  <si>
    <t>inter-run calibrator</t>
  </si>
  <si>
    <t>well-efficiency</t>
  </si>
  <si>
    <t>SEM_error_bar_for_plot_negative</t>
  </si>
  <si>
    <t>SEM_error_bar_for_plot_positive</t>
  </si>
  <si>
    <t>group-well efficiency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</si>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</sst>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000000000"/>
    <numFmt numFmtId="165" formatCode="0.0000"/>
    <numFmt numFmtId="166" formatCode="0.000"/>
    <numFmt numFmtId="167" formatCode="0.00000"/>
    <numFmt numFmtId="168" formatCode="0.0"/>
    <numFmt numFmtId="169" formatCode="0.000000"/>
    <numFmt numFmtId="170" formatCode="0.0000000000000"/>
  </numFmts>
  <fonts count="16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11"/>
      <color theme="1"/>
      <name val="Helvetica LT Std"/>
      <family val="2"/>
    </font>
    <font>
      <sz val="11"/>
      <color rgb="FF9C0006"/>
      <name val="Helvetica LT Std"/>
      <family val="2"/>
    </font>
    <font>
      <sz val="11"/>
      <color rgb="FF9C5700"/>
      <name val="Helvetica LT Std"/>
      <family val="2"/>
    </font>
    <font>
      <sz val="11"/>
      <color rgb="FF000000"/>
      <name val="Arial"/>
      <family val="2"/>
    </font>
    <font>
      <i/>
      <sz val="11"/>
      <color rgb="FF7F7F7F"/>
      <name val="Helvetica LT Std"/>
      <family val="2"/>
    </font>
    <font>
      <sz val="8"/>
      <name val="Helvetica LT Std"/>
      <family val="2"/>
    </font>
    <font>
      <sz val="11"/>
      <color theme="5"/>
      <name val="Helvetica LT Std"/>
      <family val="2"/>
    </font>
    <font>
      <sz val="11"/>
      <color theme="5" tint="-0.499984740745262"/>
      <name val="Helvetica LT Std"/>
      <family val="2"/>
    </font>
    <font>
      <sz val="11"/>
      <color theme="6"/>
      <name val="Helvetica LT Std"/>
      <family val="2"/>
    </font>
    <font>
      <sz val="11"/>
      <color theme="9"/>
      <name val="Helvetica LT Std"/>
      <family val="2"/>
    </font>
    <font>
      <sz val="9"/>
      <color theme="1"/>
      <name val="Helvetica LT Std"/>
      <family val="2"/>
    </font>
    <font>
      <b/>
      <sz val="11"/>
      <color theme="1"/>
      <name val="Helvetica LT Std"/>
      <family val="2"/>
    </font>
    <font>
      <sz val="11"/>
      <color theme="4" tint="-0.249977111117893"/>
      <name val="Helvetica LT Std"/>
      <family val="2"/>
    </font>
    <font>
      <sz val="11"/>
      <color theme="2"/>
      <name val="Helvetica LT Std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/>
      <right/>
      <top style="thin">
        <color rgb="FFB2B2B2"/>
      </top>
      <bottom/>
      <diagonal/>
    </border>
    <border>
      <left/>
      <right/>
      <top/>
      <bottom style="thin">
        <color rgb="FFB2B2B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2" fillId="5" borderId="1" applyNumberFormat="0" applyFont="0" applyAlignment="0" applyProtection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2" fontId="1" fillId="2" borderId="0" xfId="1" applyNumberFormat="1"/>
    <xf numFmtId="165" fontId="0" fillId="0" borderId="0" xfId="0" applyNumberFormat="1"/>
    <xf numFmtId="166" fontId="0" fillId="0" borderId="0" xfId="0" applyNumberFormat="1"/>
    <xf numFmtId="166" fontId="1" fillId="2" borderId="0" xfId="1" applyNumberFormat="1"/>
    <xf numFmtId="0" fontId="5" fillId="0" borderId="0" xfId="0" applyFont="1"/>
    <xf numFmtId="165" fontId="4" fillId="4" borderId="0" xfId="3" applyNumberFormat="1"/>
    <xf numFmtId="165" fontId="3" fillId="3" borderId="0" xfId="2" applyNumberFormat="1"/>
    <xf numFmtId="0" fontId="0" fillId="5" borderId="1" xfId="4" applyFont="1"/>
    <xf numFmtId="167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2" fontId="8" fillId="0" borderId="0" xfId="0" applyNumberFormat="1" applyFont="1"/>
    <xf numFmtId="2" fontId="9" fillId="0" borderId="0" xfId="0" applyNumberFormat="1" applyFont="1"/>
    <xf numFmtId="0" fontId="0" fillId="0" borderId="0" xfId="0" quotePrefix="1"/>
    <xf numFmtId="0" fontId="6" fillId="0" borderId="0" xfId="5"/>
    <xf numFmtId="0" fontId="0" fillId="0" borderId="2" xfId="0" applyBorder="1"/>
    <xf numFmtId="2" fontId="0" fillId="0" borderId="2" xfId="0" applyNumberFormat="1" applyBorder="1"/>
    <xf numFmtId="0" fontId="0" fillId="0" borderId="0" xfId="0" applyBorder="1"/>
    <xf numFmtId="2" fontId="0" fillId="0" borderId="0" xfId="0" applyNumberFormat="1" applyBorder="1"/>
    <xf numFmtId="2" fontId="6" fillId="0" borderId="0" xfId="5" applyNumberFormat="1"/>
    <xf numFmtId="168" fontId="8" fillId="0" borderId="0" xfId="0" applyNumberFormat="1" applyFont="1"/>
    <xf numFmtId="167" fontId="6" fillId="0" borderId="0" xfId="5" applyNumberFormat="1"/>
    <xf numFmtId="2" fontId="10" fillId="0" borderId="0" xfId="0" applyNumberFormat="1" applyFont="1"/>
    <xf numFmtId="2" fontId="11" fillId="0" borderId="0" xfId="0" applyNumberFormat="1" applyFont="1"/>
    <xf numFmtId="0" fontId="1" fillId="2" borderId="0" xfId="1"/>
    <xf numFmtId="169" fontId="0" fillId="0" borderId="0" xfId="0" applyNumberFormat="1"/>
    <xf numFmtId="170" fontId="0" fillId="0" borderId="0" xfId="0" applyNumberFormat="1"/>
    <xf numFmtId="0" fontId="0" fillId="0" borderId="0" xfId="0" applyAlignment="1">
      <alignment horizontal="center"/>
    </xf>
    <xf numFmtId="0" fontId="14" fillId="0" borderId="0" xfId="0" applyFont="1" applyAlignment="1">
      <alignment horizontal="center" vertical="center" wrapText="1"/>
    </xf>
    <xf numFmtId="2" fontId="14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15" fillId="0" borderId="0" xfId="0" applyNumberFormat="1" applyFont="1"/>
    <xf numFmtId="0" fontId="13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2" fillId="6" borderId="3" xfId="4" applyFont="1" applyFill="1" applyBorder="1" applyAlignment="1">
      <alignment horizontal="center" wrapText="1"/>
    </xf>
    <xf numFmtId="0" fontId="12" fillId="6" borderId="9" xfId="4" applyFont="1" applyFill="1" applyBorder="1" applyAlignment="1">
      <alignment horizontal="center" wrapText="1"/>
    </xf>
    <xf numFmtId="0" fontId="12" fillId="6" borderId="4" xfId="4" applyFont="1" applyFill="1" applyBorder="1" applyAlignment="1">
      <alignment horizontal="center" wrapText="1"/>
    </xf>
    <xf numFmtId="0" fontId="12" fillId="6" borderId="5" xfId="4" applyFont="1" applyFill="1" applyBorder="1" applyAlignment="1">
      <alignment horizontal="center" wrapText="1"/>
    </xf>
    <xf numFmtId="0" fontId="12" fillId="6" borderId="0" xfId="4" applyFont="1" applyFill="1" applyBorder="1" applyAlignment="1">
      <alignment horizontal="center" wrapText="1"/>
    </xf>
    <xf numFmtId="0" fontId="12" fillId="6" borderId="6" xfId="4" applyFont="1" applyFill="1" applyBorder="1" applyAlignment="1">
      <alignment horizontal="center" wrapText="1"/>
    </xf>
    <xf numFmtId="0" fontId="12" fillId="6" borderId="7" xfId="4" applyFont="1" applyFill="1" applyBorder="1" applyAlignment="1">
      <alignment horizontal="center" wrapText="1"/>
    </xf>
    <xf numFmtId="0" fontId="12" fillId="6" borderId="10" xfId="4" applyFont="1" applyFill="1" applyBorder="1" applyAlignment="1">
      <alignment horizontal="center" wrapText="1"/>
    </xf>
    <xf numFmtId="0" fontId="12" fillId="6" borderId="8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/>
    </xf>
  </cellXfs>
  <cellStyles count="6">
    <cellStyle name="Bad" xfId="2" builtinId="27"/>
    <cellStyle name="Explanatory Text" xfId="5" builtinId="53"/>
    <cellStyle name="Good" xfId="1" builtinId="26"/>
    <cellStyle name="Neutral" xfId="3" builtinId="28"/>
    <cellStyle name="Normal" xfId="0" builtinId="0"/>
    <cellStyle name="Note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taylor_et_al_2019_WithEff_1ref!$F$25</c:f>
              <c:strCache>
                <c:ptCount val="1"/>
                <c:pt idx="0">
                  <c:v>untreated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taylor_et_al_2019_WithEff_1ref!$F$31:$G$31</c:f>
                <c:numCache>
                  <c:formatCode>General</c:formatCode>
                  <c:ptCount val="2"/>
                  <c:pt idx="0">
                    <c:v>6.4914583744736243E-2</c:v>
                  </c:pt>
                  <c:pt idx="1">
                    <c:v>0.49210624836099881</c:v>
                  </c:pt>
                </c:numCache>
              </c:numRef>
            </c:plus>
            <c:minus>
              <c:numRef>
                <c:f>taylor_et_al_2019_WithEff_1ref!$F$30:$G$30</c:f>
                <c:numCache>
                  <c:formatCode>General</c:formatCode>
                  <c:ptCount val="2"/>
                  <c:pt idx="0">
                    <c:v>6.0957549774993569E-2</c:v>
                  </c:pt>
                  <c:pt idx="1">
                    <c:v>0.32980643898619966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taylor_et_al_2019_WithEff_1ref!$G$24:$H$24</c:f>
              <c:strCache>
                <c:ptCount val="2"/>
                <c:pt idx="0">
                  <c:v>target-1</c:v>
                </c:pt>
                <c:pt idx="1">
                  <c:v>target-2</c:v>
                </c:pt>
              </c:strCache>
            </c:strRef>
          </c:cat>
          <c:val>
            <c:numRef>
              <c:f>taylor_et_al_2019_WithEff_1ref!$G$25:$H$25</c:f>
              <c:numCache>
                <c:formatCode>0.00</c:formatCode>
                <c:ptCount val="2"/>
                <c:pt idx="0">
                  <c:v>1.0000000000000024</c:v>
                </c:pt>
                <c:pt idx="1">
                  <c:v>1.0000000000000018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CA-4A45-B4C5-07236F7F16FE}"/>
            </c:ext>
          </c:extLst>
        </c:ser>
        <c:ser>
          <c:idx val="1"/>
          <c:order val="1"/>
          <c:tx>
            <c:strRef>
              <c:f>taylor_et_al_2019_WithEff_1ref!$F$26</c:f>
              <c:strCache>
                <c:ptCount val="1"/>
                <c:pt idx="0">
                  <c:v>trated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taylor_et_al_2019_WithEff_1ref!$F$35:$G$35</c:f>
                <c:numCache>
                  <c:formatCode>General</c:formatCode>
                  <c:ptCount val="2"/>
                  <c:pt idx="0">
                    <c:v>6.0890475603972316E-2</c:v>
                  </c:pt>
                  <c:pt idx="1">
                    <c:v>6.9388939039072284E-18</c:v>
                  </c:pt>
                </c:numCache>
              </c:numRef>
            </c:plus>
            <c:minus>
              <c:numRef>
                <c:f>taylor_et_al_2019_WithEff_1ref!$F$34:$G$34</c:f>
                <c:numCache>
                  <c:formatCode>General</c:formatCode>
                  <c:ptCount val="2"/>
                  <c:pt idx="0">
                    <c:v>5.3744756682965522E-2</c:v>
                  </c:pt>
                  <c:pt idx="1">
                    <c:v>6.9388939039072284E-18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taylor_et_al_2019_WithEff_1ref!$G$24:$H$24</c:f>
              <c:strCache>
                <c:ptCount val="2"/>
                <c:pt idx="0">
                  <c:v>target-1</c:v>
                </c:pt>
                <c:pt idx="1">
                  <c:v>target-2</c:v>
                </c:pt>
              </c:strCache>
            </c:strRef>
          </c:cat>
          <c:val>
            <c:numRef>
              <c:f>taylor_et_al_2019_WithEff_1ref!$G$26:$H$26</c:f>
              <c:numCache>
                <c:formatCode>0.00</c:formatCode>
                <c:ptCount val="2"/>
                <c:pt idx="0">
                  <c:v>0.45797264513512559</c:v>
                </c:pt>
                <c:pt idx="1">
                  <c:v>3.4754252682246037E-2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CA-4A45-B4C5-07236F7F1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9089216"/>
        <c:axId val="1866319328"/>
      </c:barChart>
      <c:catAx>
        <c:axId val="15190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866319328"/>
        <c:crosses val="autoZero"/>
        <c:auto val="1"/>
        <c:lblAlgn val="ctr"/>
        <c:lblOffset val="100"/>
        <c:noMultiLvlLbl val="0"/>
      </c:catAx>
      <c:valAx>
        <c:axId val="1866319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en-GB" sz="1200"/>
                  <a:t>Relative Expression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5190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Helvetica LT Std Light" panose="020B0403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taylor_et_al_2019_withEff.!$F$31</c:f>
              <c:strCache>
                <c:ptCount val="1"/>
                <c:pt idx="0">
                  <c:v>untreated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taylor_et_al_2019_withEff.!$F$37:$G$37</c:f>
                <c:numCache>
                  <c:formatCode>General</c:formatCode>
                  <c:ptCount val="2"/>
                  <c:pt idx="0">
                    <c:v>6.4914583744736243E-2</c:v>
                  </c:pt>
                  <c:pt idx="1">
                    <c:v>0.49210624836099837</c:v>
                  </c:pt>
                </c:numCache>
              </c:numRef>
            </c:plus>
            <c:minus>
              <c:numRef>
                <c:f>taylor_et_al_2019_withEff.!$F$36:$G$36</c:f>
                <c:numCache>
                  <c:formatCode>General</c:formatCode>
                  <c:ptCount val="2"/>
                  <c:pt idx="0">
                    <c:v>6.0957549774993458E-2</c:v>
                  </c:pt>
                  <c:pt idx="1">
                    <c:v>0.32980643898619932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taylor_et_al_2019_withEff.!$G$30:$H$30</c:f>
              <c:strCache>
                <c:ptCount val="2"/>
                <c:pt idx="0">
                  <c:v>target-1</c:v>
                </c:pt>
                <c:pt idx="1">
                  <c:v>target-2</c:v>
                </c:pt>
              </c:strCache>
            </c:strRef>
          </c:cat>
          <c:val>
            <c:numRef>
              <c:f>taylor_et_al_2019_withEff.!$G$31:$H$31</c:f>
              <c:numCache>
                <c:formatCode>0.00</c:formatCode>
                <c:ptCount val="2"/>
                <c:pt idx="0">
                  <c:v>1.0000000000000018</c:v>
                </c:pt>
                <c:pt idx="1">
                  <c:v>1.0000000000000009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0-4F31-845B-9C3D51053D07}"/>
            </c:ext>
          </c:extLst>
        </c:ser>
        <c:ser>
          <c:idx val="1"/>
          <c:order val="1"/>
          <c:tx>
            <c:strRef>
              <c:f>taylor_et_al_2019_withEff.!$F$32</c:f>
              <c:strCache>
                <c:ptCount val="1"/>
                <c:pt idx="0">
                  <c:v>trated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taylor_et_al_2019_withEff.!$F$41:$G$41</c:f>
                <c:numCache>
                  <c:formatCode>General</c:formatCode>
                  <c:ptCount val="2"/>
                  <c:pt idx="0">
                    <c:v>5.7739151827793878E-2</c:v>
                  </c:pt>
                  <c:pt idx="1">
                    <c:v>0</c:v>
                  </c:pt>
                </c:numCache>
              </c:numRef>
            </c:plus>
            <c:minus>
              <c:numRef>
                <c:f>taylor_et_al_2019_withEff.!$F$40:$G$40</c:f>
                <c:numCache>
                  <c:formatCode>General</c:formatCode>
                  <c:ptCount val="2"/>
                  <c:pt idx="0">
                    <c:v>5.0963252221061017E-2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taylor_et_al_2019_withEff.!$G$30:$H$30</c:f>
              <c:strCache>
                <c:ptCount val="2"/>
                <c:pt idx="0">
                  <c:v>target-1</c:v>
                </c:pt>
                <c:pt idx="1">
                  <c:v>target-2</c:v>
                </c:pt>
              </c:strCache>
            </c:strRef>
          </c:cat>
          <c:val>
            <c:numRef>
              <c:f>taylor_et_al_2019_withEff.!$G$32:$H$32</c:f>
              <c:numCache>
                <c:formatCode>0.00</c:formatCode>
                <c:ptCount val="2"/>
                <c:pt idx="0">
                  <c:v>0.43427074313586911</c:v>
                </c:pt>
                <c:pt idx="1">
                  <c:v>3.2955582172375424E-2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0-4F31-845B-9C3D51053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9089216"/>
        <c:axId val="1866319328"/>
      </c:barChart>
      <c:catAx>
        <c:axId val="15190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866319328"/>
        <c:crosses val="autoZero"/>
        <c:auto val="1"/>
        <c:lblAlgn val="ctr"/>
        <c:lblOffset val="100"/>
        <c:noMultiLvlLbl val="0"/>
      </c:catAx>
      <c:valAx>
        <c:axId val="1866319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en-GB" sz="1200"/>
                  <a:t>Relative Expression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5190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Helvetica LT Std Light" panose="020B0403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taylor_et_al_2019!$F$31</c:f>
              <c:strCache>
                <c:ptCount val="1"/>
                <c:pt idx="0">
                  <c:v>untreated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taylor_et_al_2019!$F$37:$G$37</c:f>
                <c:numCache>
                  <c:formatCode>General</c:formatCode>
                  <c:ptCount val="2"/>
                  <c:pt idx="0">
                    <c:v>6.4914583744736243E-2</c:v>
                  </c:pt>
                  <c:pt idx="1">
                    <c:v>0.49210624836099837</c:v>
                  </c:pt>
                </c:numCache>
              </c:numRef>
            </c:plus>
            <c:minus>
              <c:numRef>
                <c:f>taylor_et_al_2019!$F$36:$G$36</c:f>
                <c:numCache>
                  <c:formatCode>General</c:formatCode>
                  <c:ptCount val="2"/>
                  <c:pt idx="0">
                    <c:v>6.0957549774993458E-2</c:v>
                  </c:pt>
                  <c:pt idx="1">
                    <c:v>0.32980643898619932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taylor_et_al_2019!$G$30:$H$30</c:f>
              <c:strCache>
                <c:ptCount val="2"/>
                <c:pt idx="0">
                  <c:v>target-1</c:v>
                </c:pt>
                <c:pt idx="1">
                  <c:v>target-2</c:v>
                </c:pt>
              </c:strCache>
            </c:strRef>
          </c:cat>
          <c:val>
            <c:numRef>
              <c:f>taylor_et_al_2019!$G$31:$H$31</c:f>
              <c:numCache>
                <c:formatCode>0.00</c:formatCode>
                <c:ptCount val="2"/>
                <c:pt idx="0">
                  <c:v>1.0000000000000018</c:v>
                </c:pt>
                <c:pt idx="1">
                  <c:v>1.0000000000000009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D-4CA5-B2D0-664E7CE65F26}"/>
            </c:ext>
          </c:extLst>
        </c:ser>
        <c:ser>
          <c:idx val="1"/>
          <c:order val="1"/>
          <c:tx>
            <c:strRef>
              <c:f>taylor_et_al_2019!$F$32</c:f>
              <c:strCache>
                <c:ptCount val="1"/>
                <c:pt idx="0">
                  <c:v>trated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taylor_et_al_2019!$F$41:$G$41</c:f>
                <c:numCache>
                  <c:formatCode>General</c:formatCode>
                  <c:ptCount val="2"/>
                  <c:pt idx="0">
                    <c:v>5.7739151827793878E-2</c:v>
                  </c:pt>
                  <c:pt idx="1">
                    <c:v>0</c:v>
                  </c:pt>
                </c:numCache>
              </c:numRef>
            </c:plus>
            <c:minus>
              <c:numRef>
                <c:f>taylor_et_al_2019!$F$40:$G$40</c:f>
                <c:numCache>
                  <c:formatCode>General</c:formatCode>
                  <c:ptCount val="2"/>
                  <c:pt idx="0">
                    <c:v>5.0963252221061017E-2</c:v>
                  </c:pt>
                  <c:pt idx="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taylor_et_al_2019!$G$30:$H$30</c:f>
              <c:strCache>
                <c:ptCount val="2"/>
                <c:pt idx="0">
                  <c:v>target-1</c:v>
                </c:pt>
                <c:pt idx="1">
                  <c:v>target-2</c:v>
                </c:pt>
              </c:strCache>
            </c:strRef>
          </c:cat>
          <c:val>
            <c:numRef>
              <c:f>taylor_et_al_2019!$G$32:$H$32</c:f>
              <c:numCache>
                <c:formatCode>0.00</c:formatCode>
                <c:ptCount val="2"/>
                <c:pt idx="0">
                  <c:v>0.43427074313586911</c:v>
                </c:pt>
                <c:pt idx="1">
                  <c:v>3.2955582172375424E-2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D2-4DBA-B528-82F1471D3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9089216"/>
        <c:axId val="1866319328"/>
      </c:barChart>
      <c:catAx>
        <c:axId val="15190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866319328"/>
        <c:crosses val="autoZero"/>
        <c:auto val="1"/>
        <c:lblAlgn val="ctr"/>
        <c:lblOffset val="100"/>
        <c:noMultiLvlLbl val="0"/>
      </c:catAx>
      <c:valAx>
        <c:axId val="1866319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en-GB" sz="1200"/>
                  <a:t>Relative Expression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15190892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Helvetica LT Std Light" panose="020B0403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1143001</xdr:colOff>
      <xdr:row>36</xdr:row>
      <xdr:rowOff>176813</xdr:rowOff>
    </xdr:from>
    <xdr:to>
      <xdr:col>8</xdr:col>
      <xdr:colOff>616323</xdr:colOff>
      <xdr:row>51</xdr:row>
      <xdr:rowOff>168088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481723-AB58-40A0-9D83-BF5F88801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1143001</xdr:colOff>
      <xdr:row>42</xdr:row>
      <xdr:rowOff>176813</xdr:rowOff>
    </xdr:from>
    <xdr:to>
      <xdr:col>8</xdr:col>
      <xdr:colOff>616323</xdr:colOff>
      <xdr:row>57</xdr:row>
      <xdr:rowOff>168088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20864A-E080-4B5D-9079-EFF5208A2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1143001</xdr:colOff>
      <xdr:row>42</xdr:row>
      <xdr:rowOff>176813</xdr:rowOff>
    </xdr:from>
    <xdr:to>
      <xdr:col>8</xdr:col>
      <xdr:colOff>616323</xdr:colOff>
      <xdr:row>57</xdr:row>
      <xdr:rowOff>168088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6478741-1234-41D8-AF04-503F5834BA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6E8A9A3C-8D1A-484C-B3BF-68132278DD35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april">
      <a:dk1>
        <a:srgbClr val="2C2A29"/>
      </a:dk1>
      <a:lt1>
        <a:sysClr val="window" lastClr="FFFFFF"/>
      </a:lt1>
      <a:dk2>
        <a:srgbClr val="53565A"/>
      </a:dk2>
      <a:lt2>
        <a:srgbClr val="BFBFC0"/>
      </a:lt2>
      <a:accent1>
        <a:srgbClr val="53565A"/>
      </a:accent1>
      <a:accent2>
        <a:srgbClr val="009FDF"/>
      </a:accent2>
      <a:accent3>
        <a:srgbClr val="00AB84"/>
      </a:accent3>
      <a:accent4>
        <a:srgbClr val="EF3340"/>
      </a:accent4>
      <a:accent5>
        <a:srgbClr val="FAE100"/>
      </a:accent5>
      <a:accent6>
        <a:srgbClr val="D62598"/>
      </a:accent6>
      <a:hlink>
        <a:srgbClr val="009FDF"/>
      </a:hlink>
      <a:folHlink>
        <a:srgbClr val="00564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0-03-18T15:39:16.36" personId="{6E8A9A3C-8D1A-484C-B3BF-68132278DD35}" id="{3373A228-644B-46FB-8ABD-2ED69E3D150C}">
    <text>replace to account error progapation with: 
'=SQRT(STDEV.S(I14:I16)^2+STDEV.S(I17:I19)^2)'</text>
  </threadedComment>
  <threadedComment ref="AA1" dT="2020-05-06T17:54:14.95" personId="{6E8A9A3C-8D1A-484C-B3BF-68132278DD35}" id="{2743C570-41A0-493D-8DA0-6E5EB5F51C4E}">
    <text>needs to be validated with data</text>
  </threadedComment>
  <threadedComment ref="V2" dT="2020-03-13T18:51:07.89" personId="{6E8A9A3C-8D1A-484C-B3BF-68132278DD35}" id="{50D51228-A5AD-4730-9C78-61BA9D073077}">
    <text>=T.INV.2T(0.05,2)</text>
  </threadedComment>
  <threadedComment ref="J8" dT="2020-04-27T16:13:23.37" personId="{6E8A9A3C-8D1A-484C-B3BF-68132278DD35}" id="{54C5855D-3D99-484D-9C92-E025FBC8D16F}">
    <text>Only needs to be calculated for the 1st target, then. No need to drag this until the end of the data</text>
  </threadedComment>
  <threadedComment ref="K8" dT="2020-04-27T16:14:31.66" personId="{6E8A9A3C-8D1A-484C-B3BF-68132278DD35}" id="{E7000788-D8BA-40D7-A4DC-D90471245073}">
    <text>The control for the reference genes is averaged with geommean() and locked to the respective replicates - this allows to copy pastes for the various targets.</text>
  </threadedComment>
  <threadedComment ref="Y8" dT="2020-04-30T11:08:45.53" personId="{6E8A9A3C-8D1A-484C-B3BF-68132278DD35}" id="{9D1280BD-77E5-4071-B007-845CC510BBCE}">
    <text>Copy this set that contains rows if 'untreated' and 'treated' samples to rows below for the other targets</text>
  </threadedComment>
  <threadedComment ref="K14" dT="2020-04-27T16:14:31.66" personId="{6E8A9A3C-8D1A-484C-B3BF-68132278DD35}" id="{E2880EC9-FE66-4FF8-8D41-621B1996131A}">
    <text>The control for the reference genes is averaged with geommean() and locked to the respective replicates - this allows to copy pastes for the various targets.</text>
  </threadedComment>
  <threadedComment ref="Y14" dT="2020-04-30T11:08:45.53" personId="{6E8A9A3C-8D1A-484C-B3BF-68132278DD35}" id="{4762B2FE-9380-485D-BDCC-8C85A7FC35CE}">
    <text>Copy this set that contains rows if 'untreated' and 'treated' samples to rows below for the other targets</text>
  </threadedComment>
  <threadedComment ref="B24" dT="2020-04-30T11:34:33.72" personId="{6E8A9A3C-8D1A-484C-B3BF-68132278DD35}" id="{374F92B4-8515-41A4-B6AB-6E7FA2467A43}">
    <text>copy the Cq avarages of the second run reference gene, as values, to this rows</text>
  </threadedComment>
  <threadedComment ref="C24" dT="2020-04-30T11:35:09.86" personId="{6E8A9A3C-8D1A-484C-B3BF-68132278DD35}" id="{D5684C35-AFE0-4722-B3DF-328EE7E3B432}">
    <text>corrected Cq for inter-run calibration. paste back in the correct range in col. F</text>
  </threadedComment>
  <threadedComment ref="E31" dT="2020-03-13T19:14:12.41" personId="{6E8A9A3C-8D1A-484C-B3BF-68132278DD35}" id="{6C33D0C1-24F8-4149-96CD-19A7507B896A}">
    <text>SEM</text>
  </threadedComment>
  <threadedComment ref="E35" dT="2020-03-13T19:14:12.41" personId="{6E8A9A3C-8D1A-484C-B3BF-68132278DD35}" id="{34B27FF6-0195-476A-A0C8-29ED4B497892}">
    <text>SEM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O1" dT="2020-03-18T15:39:16.36" personId="{6E8A9A3C-8D1A-484C-B3BF-68132278DD35}" id="{D4676AFE-BC15-41BE-A7FB-89916C0880D3}">
    <text>replace to account error progapation with: 
'=SQRT(STDEV.S(I14:I16)^2+STDEV.S(I17:I19)^2)'</text>
  </threadedComment>
  <threadedComment ref="AA1" dT="2020-05-06T17:54:14.95" personId="{6E8A9A3C-8D1A-484C-B3BF-68132278DD35}" id="{1FAFF4F5-8BA3-41CE-9FAB-37BD6F56B298}">
    <text>needs to be validated with data</text>
  </threadedComment>
  <threadedComment ref="V2" dT="2020-03-13T18:51:07.89" personId="{6E8A9A3C-8D1A-484C-B3BF-68132278DD35}" id="{BA2B563B-18ED-4ED5-ABB4-A86661C4825A}">
    <text>=T.INV.2T(0.05,2)</text>
  </threadedComment>
  <threadedComment ref="Y8" dT="2020-04-30T11:10:06.20" personId="{6E8A9A3C-8D1A-484C-B3BF-68132278DD35}" id="{D7ECD102-246E-40C7-9356-AE917D44B690}">
    <text>average of cq of the reference gene(s), to calculate the difference ddCt below for each target and condition</text>
  </threadedComment>
  <threadedComment ref="J14" dT="2020-04-27T16:13:23.37" personId="{6E8A9A3C-8D1A-484C-B3BF-68132278DD35}" id="{ECBD58C9-946F-424A-8DFE-C839D1439DF1}">
    <text>Only needs to be calculated for the 1st target, then. No need to drag this until the end of the data</text>
  </threadedComment>
  <threadedComment ref="K14" dT="2020-04-27T16:14:31.66" personId="{6E8A9A3C-8D1A-484C-B3BF-68132278DD35}" id="{10E5C010-00C6-48B3-96E0-0FA99FDEECA0}">
    <text>The control for the reference genes is averaged with geommean() and locked to the respective replicates - this allows to copy pastes for the various targets.</text>
  </threadedComment>
  <threadedComment ref="Y14" dT="2020-04-30T11:08:45.53" personId="{6E8A9A3C-8D1A-484C-B3BF-68132278DD35}" id="{4450A4DF-BB69-447E-82DB-0710D8F0C7E5}">
    <text>Copy this set that contains rows if 'untreated' and 'treated' samples to rows below for the other targets</text>
  </threadedComment>
  <threadedComment ref="K20" dT="2020-04-27T16:14:31.66" personId="{6E8A9A3C-8D1A-484C-B3BF-68132278DD35}" id="{F0E13A67-3571-4E31-885C-565988D45192}">
    <text>The control for the reference genes is averaged with geommean() and locked to the respective replicates - this allows to copy pastes for the various targets.</text>
  </threadedComment>
  <threadedComment ref="B30" dT="2020-04-30T11:34:33.72" personId="{6E8A9A3C-8D1A-484C-B3BF-68132278DD35}" id="{672F0867-0D8E-452B-8BA3-E6116FC74AA9}">
    <text>copy the Cq avarages od the second run, as values, to this rows</text>
  </threadedComment>
  <threadedComment ref="C30" dT="2020-04-30T11:35:09.86" personId="{6E8A9A3C-8D1A-484C-B3BF-68132278DD35}" id="{AC360B33-0125-4B7D-B631-FB67AA42D428}">
    <text>corrected Cq for inter-run calibration. paste back in the correct range in col. F</text>
  </threadedComment>
  <threadedComment ref="E37" dT="2020-03-13T19:14:12.41" personId="{6E8A9A3C-8D1A-484C-B3BF-68132278DD35}" id="{5314D152-BA59-4FFB-8F8F-05490391CCFB}">
    <text>SEM</text>
  </threadedComment>
  <threadedComment ref="E41" dT="2020-03-13T19:14:12.41" personId="{6E8A9A3C-8D1A-484C-B3BF-68132278DD35}" id="{120269E6-8500-4286-A7E2-2C84FB66A6BE}">
    <text>SEM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O1" dT="2020-03-18T15:39:16.36" personId="{6E8A9A3C-8D1A-484C-B3BF-68132278DD35}" id="{516DF7EA-C538-4623-B576-5D5B93E2F2F9}">
    <text>replace to account error progapation with: 
'=SQRT(STDEV.S(I14:I16)^2+STDEV.S(I17:I19)^2)'</text>
  </threadedComment>
  <threadedComment ref="V2" dT="2020-03-13T18:51:07.89" personId="{6E8A9A3C-8D1A-484C-B3BF-68132278DD35}" id="{3809F5CE-0E59-472D-83D9-07680B089D4D}">
    <text>=T.INV.2T(0.05,2)</text>
  </threadedComment>
  <threadedComment ref="Y8" dT="2020-04-30T11:10:06.20" personId="{6E8A9A3C-8D1A-484C-B3BF-68132278DD35}" id="{1CB553DA-CC32-4062-BE31-EA84785BFF7D}">
    <text>average of cq of the reference gene(s), to calculate the difference ddCt below for each target and condition</text>
  </threadedComment>
  <threadedComment ref="J14" dT="2020-04-27T16:13:23.37" personId="{6E8A9A3C-8D1A-484C-B3BF-68132278DD35}" id="{CA6CF079-0593-44BB-B933-26DC14BA0C80}">
    <text>Only needs to be calculated for the 1st target, then. No need to drag this until the end of the data</text>
  </threadedComment>
  <threadedComment ref="K14" dT="2020-04-27T16:14:31.66" personId="{6E8A9A3C-8D1A-484C-B3BF-68132278DD35}" id="{0F5B84F9-1726-4858-9AE6-54C99CF649EE}">
    <text>The control for the reference genes is averaged with geommean() and locked to the respective replicates - this allows to copy pastes for the various targets.</text>
  </threadedComment>
  <threadedComment ref="Y14" dT="2020-04-30T11:08:45.53" personId="{6E8A9A3C-8D1A-484C-B3BF-68132278DD35}" id="{A07AF2A1-3FD4-4FCE-87F2-DBDE63929276}">
    <text>Copy this set that contains rows if 'untreated' and 'treated' samples to rows below for the other targets</text>
  </threadedComment>
  <threadedComment ref="K20" dT="2020-04-27T16:14:31.66" personId="{6E8A9A3C-8D1A-484C-B3BF-68132278DD35}" id="{C6679326-BB7E-430C-84C7-1F0FFC8029E2}">
    <text>The control for the reference genes is averaged with geommean() and locked to the respective replicates - this allows to copy pastes for the various targets.</text>
  </threadedComment>
  <threadedComment ref="B30" dT="2020-04-30T11:34:33.72" personId="{6E8A9A3C-8D1A-484C-B3BF-68132278DD35}" id="{C21D1A46-622F-49FE-8409-02BD8B7156A4}">
    <text>copy the Cq avarages od the second run, as values, to this rows</text>
  </threadedComment>
  <threadedComment ref="C30" dT="2020-04-30T11:35:09.86" personId="{6E8A9A3C-8D1A-484C-B3BF-68132278DD35}" id="{50F77213-46D8-4409-BB64-FA1D18A0A71A}">
    <text>corrected Cq for inter-run calibration. paste back in the correct range in col. F</text>
  </threadedComment>
  <threadedComment ref="E37" dT="2020-03-13T19:14:12.41" personId="{6E8A9A3C-8D1A-484C-B3BF-68132278DD35}" id="{AA42FF70-3852-44F0-A4F5-8BC2D9307D36}">
    <text>SEM</text>
  </threadedComment>
  <threadedComment ref="E41" dT="2020-03-13T19:14:12.41" personId="{6E8A9A3C-8D1A-484C-B3BF-68132278DD35}" id="{9868F15A-4402-4D82-BA12-2D94B80C83F6}">
    <text>SEM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J2" dT="2020-04-27T16:56:08.30" personId="{6E8A9A3C-8D1A-484C-B3BF-68132278DD35}" id="{264F5867-070E-4B92-AC8E-7B859C26FBB2}">
    <text>H0: same variance
Reject null H0 F &gt; F critical
To have equal variances F &lt; F critical</text>
  </threadedComment>
  <threadedComment ref="J2" dT="2020-04-27T17:06:16.83" personId="{6E8A9A3C-8D1A-484C-B3BF-68132278DD35}" id="{604FCE8A-02E4-46E8-A8D1-94EBA0F767AC}" parentId="{264F5867-070E-4B92-AC8E-7B859C26FBB2}">
    <text>Check if the variable with higher variance is the 1st in the output table: the variable with higher variance needs to be the 1st one. Swap if needed.</text>
  </threadedComment>
  <threadedComment ref="D5" dT="2020-04-27T17:15:59.28" personId="{6E8A9A3C-8D1A-484C-B3BF-68132278DD35}" id="{C8266938-0870-4868-AF94-4030B217872F}">
    <text>use values from 
Col. Y on "taylor_et_al_2019" sheet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AD300-3D43-4489-AB6A-9FDC0C215610}">
  <dimension ref="A1:AA66"/>
  <sheetViews>
    <sheetView tabSelected="1" zoomScale="85" zoomScaleNormal="85" workbookViewId="0">
      <selection activeCell="H12" sqref="H12"/>
    </sheetView>
  </sheetViews>
  <sheetFormatPr defaultRowHeight="14.25" x14ac:dyDescent="0.2"/>
  <cols>
    <col min="1" max="1" width="10.875" bestFit="1" customWidth="1"/>
    <col min="2" max="2" width="17.5" bestFit="1" customWidth="1"/>
    <col min="3" max="3" width="15.25" bestFit="1" customWidth="1"/>
    <col min="4" max="4" width="15.125" customWidth="1"/>
    <col min="5" max="5" width="13.75" bestFit="1" customWidth="1"/>
    <col min="6" max="6" width="9.5" bestFit="1" customWidth="1"/>
    <col min="7" max="7" width="16.375" bestFit="1" customWidth="1"/>
    <col min="8" max="8" width="16" bestFit="1" customWidth="1"/>
    <col min="9" max="9" width="13.875" bestFit="1" customWidth="1"/>
    <col min="10" max="10" width="11.875" bestFit="1" customWidth="1"/>
    <col min="11" max="11" width="16.625" bestFit="1" customWidth="1"/>
    <col min="12" max="12" width="13.625" bestFit="1" customWidth="1"/>
    <col min="13" max="13" width="13.875" bestFit="1" customWidth="1"/>
    <col min="14" max="14" width="12.125" bestFit="1" customWidth="1"/>
    <col min="15" max="15" width="7.875" customWidth="1"/>
    <col min="16" max="16" width="7.5" bestFit="1" customWidth="1"/>
    <col min="17" max="17" width="7.875" bestFit="1" customWidth="1"/>
    <col min="18" max="18" width="8.125" bestFit="1" customWidth="1"/>
    <col min="20" max="20" width="9.25" bestFit="1" customWidth="1"/>
    <col min="21" max="21" width="9.5" hidden="1" customWidth="1"/>
    <col min="22" max="24" width="9" hidden="1" customWidth="1"/>
  </cols>
  <sheetData>
    <row r="1" spans="1:27" ht="60" customHeight="1" x14ac:dyDescent="0.2">
      <c r="A1" s="36" t="s">
        <v>7</v>
      </c>
      <c r="B1" s="36" t="s">
        <v>8</v>
      </c>
      <c r="C1" s="32" t="s">
        <v>56</v>
      </c>
      <c r="D1" s="32" t="s">
        <v>57</v>
      </c>
      <c r="E1" s="32" t="s">
        <v>58</v>
      </c>
      <c r="F1" s="32" t="s">
        <v>9</v>
      </c>
      <c r="G1" s="36" t="s">
        <v>10</v>
      </c>
      <c r="H1" s="36" t="s">
        <v>11</v>
      </c>
      <c r="I1" s="36" t="s">
        <v>12</v>
      </c>
      <c r="J1" s="36" t="s">
        <v>13</v>
      </c>
      <c r="K1" s="36" t="s">
        <v>14</v>
      </c>
      <c r="L1" s="36" t="s">
        <v>15</v>
      </c>
      <c r="M1" s="36" t="s">
        <v>16</v>
      </c>
      <c r="N1" s="36" t="s">
        <v>17</v>
      </c>
      <c r="O1" s="36" t="s">
        <v>21</v>
      </c>
      <c r="P1" s="36" t="s">
        <v>18</v>
      </c>
      <c r="Q1" s="36" t="s">
        <v>45</v>
      </c>
      <c r="R1" s="36" t="s">
        <v>46</v>
      </c>
      <c r="S1" s="13" t="s">
        <v>62</v>
      </c>
      <c r="T1" s="13" t="s">
        <v>63</v>
      </c>
      <c r="U1" s="37" t="s">
        <v>19</v>
      </c>
      <c r="V1" s="37" t="s">
        <v>20</v>
      </c>
      <c r="W1" s="13" t="s">
        <v>43</v>
      </c>
      <c r="X1" s="13" t="s">
        <v>44</v>
      </c>
      <c r="Y1" s="13" t="s">
        <v>55</v>
      </c>
      <c r="Z1" s="13" t="s">
        <v>61</v>
      </c>
      <c r="AA1" s="13" t="s">
        <v>64</v>
      </c>
    </row>
    <row r="2" spans="1:27" x14ac:dyDescent="0.2">
      <c r="A2" t="s">
        <v>37</v>
      </c>
      <c r="B2" t="s">
        <v>1</v>
      </c>
      <c r="C2" s="33">
        <v>28.74</v>
      </c>
      <c r="D2" s="33">
        <v>28.74</v>
      </c>
      <c r="E2" s="33">
        <v>28.74</v>
      </c>
      <c r="F2" s="33">
        <f>AVERAGE(C2:E2)</f>
        <v>28.74</v>
      </c>
      <c r="G2">
        <f>AVERAGE(F2:F4)</f>
        <v>28.74</v>
      </c>
      <c r="H2">
        <f>$G$2-F2</f>
        <v>0</v>
      </c>
      <c r="I2" s="26">
        <f>(1+Z2)^H2</f>
        <v>1</v>
      </c>
      <c r="J2" s="1"/>
      <c r="K2" s="1"/>
      <c r="L2" s="1"/>
      <c r="M2" s="1"/>
      <c r="N2" s="1"/>
      <c r="O2" s="1"/>
      <c r="P2" s="1"/>
      <c r="Q2" s="1"/>
      <c r="R2" s="1"/>
      <c r="U2" t="s">
        <v>40</v>
      </c>
      <c r="V2">
        <f>_xlfn.T.INV.2T(0.05,COUNT(L8:L10)-1)</f>
        <v>4.3026527297494637</v>
      </c>
      <c r="Y2" s="39">
        <f>F2</f>
        <v>28.74</v>
      </c>
      <c r="Z2">
        <v>1</v>
      </c>
    </row>
    <row r="3" spans="1:27" ht="14.25" customHeight="1" x14ac:dyDescent="0.2">
      <c r="A3" t="s">
        <v>37</v>
      </c>
      <c r="B3" t="s">
        <v>1</v>
      </c>
      <c r="C3" s="33">
        <v>28.85</v>
      </c>
      <c r="D3" s="33">
        <v>28.85</v>
      </c>
      <c r="E3" s="33">
        <v>28.85</v>
      </c>
      <c r="F3" s="33">
        <f t="shared" ref="F3:F19" si="0">AVERAGE(C3:E3)</f>
        <v>28.850000000000005</v>
      </c>
      <c r="H3">
        <f t="shared" ref="H3:H7" si="1">$G$2-F3</f>
        <v>-0.11000000000000654</v>
      </c>
      <c r="I3" s="26">
        <f t="shared" ref="I3:I19" si="2">(1+Z3)^H3</f>
        <v>0.92658806189036669</v>
      </c>
      <c r="J3" s="1"/>
      <c r="K3" s="1"/>
      <c r="L3" s="1"/>
      <c r="M3" s="1"/>
      <c r="N3" s="1"/>
      <c r="O3" s="1"/>
      <c r="P3" s="1"/>
      <c r="Q3" s="1"/>
      <c r="R3" s="1"/>
      <c r="Y3" s="39">
        <f t="shared" ref="Y3:Y7" si="3">F3</f>
        <v>28.850000000000005</v>
      </c>
      <c r="Z3">
        <v>1</v>
      </c>
    </row>
    <row r="4" spans="1:27" x14ac:dyDescent="0.2">
      <c r="A4" t="s">
        <v>37</v>
      </c>
      <c r="B4" t="s">
        <v>1</v>
      </c>
      <c r="C4" s="33">
        <v>28.63</v>
      </c>
      <c r="D4" s="33">
        <v>28.63</v>
      </c>
      <c r="E4" s="33">
        <v>28.63</v>
      </c>
      <c r="F4" s="33">
        <f t="shared" si="0"/>
        <v>28.63</v>
      </c>
      <c r="H4">
        <f t="shared" si="1"/>
        <v>0.10999999999999943</v>
      </c>
      <c r="I4" s="26">
        <f t="shared" si="2"/>
        <v>1.0792282365044268</v>
      </c>
      <c r="J4" s="1"/>
      <c r="K4" s="1"/>
      <c r="L4" s="1"/>
      <c r="M4" s="1"/>
      <c r="N4" s="1"/>
      <c r="O4" s="1"/>
      <c r="P4" s="1"/>
      <c r="Q4" s="1"/>
      <c r="R4" s="1"/>
      <c r="Y4" s="39">
        <f t="shared" si="3"/>
        <v>28.63</v>
      </c>
      <c r="Z4">
        <v>1</v>
      </c>
    </row>
    <row r="5" spans="1:27" x14ac:dyDescent="0.2">
      <c r="A5" t="s">
        <v>37</v>
      </c>
      <c r="B5" t="s">
        <v>2</v>
      </c>
      <c r="C5" s="33">
        <v>28.84</v>
      </c>
      <c r="D5" s="33">
        <v>28.84</v>
      </c>
      <c r="E5" s="33">
        <v>28.84</v>
      </c>
      <c r="F5" s="33">
        <f t="shared" si="0"/>
        <v>28.84</v>
      </c>
      <c r="H5">
        <f t="shared" si="1"/>
        <v>-0.10000000000000142</v>
      </c>
      <c r="I5" s="27">
        <f t="shared" si="2"/>
        <v>0.93303299153680652</v>
      </c>
      <c r="J5" s="1"/>
      <c r="K5" s="1"/>
      <c r="L5" s="1"/>
      <c r="M5" s="1"/>
      <c r="N5" s="1"/>
      <c r="O5" s="1"/>
      <c r="P5" s="1"/>
      <c r="Q5" s="1"/>
      <c r="R5" s="1"/>
      <c r="Y5" s="39">
        <f t="shared" si="3"/>
        <v>28.84</v>
      </c>
      <c r="Z5">
        <v>1</v>
      </c>
    </row>
    <row r="6" spans="1:27" x14ac:dyDescent="0.2">
      <c r="A6" t="s">
        <v>37</v>
      </c>
      <c r="B6" t="s">
        <v>2</v>
      </c>
      <c r="C6" s="33">
        <v>29.08</v>
      </c>
      <c r="D6" s="33">
        <v>29.08</v>
      </c>
      <c r="E6" s="33">
        <v>29.08</v>
      </c>
      <c r="F6" s="33">
        <f t="shared" si="0"/>
        <v>29.08</v>
      </c>
      <c r="H6">
        <f t="shared" si="1"/>
        <v>-0.33999999999999986</v>
      </c>
      <c r="I6" s="27">
        <f t="shared" si="2"/>
        <v>0.79004131186337734</v>
      </c>
      <c r="J6" s="1"/>
      <c r="K6" s="1"/>
      <c r="L6" s="1"/>
      <c r="M6" s="1"/>
      <c r="N6" s="1"/>
      <c r="O6" s="1"/>
      <c r="P6" s="1"/>
      <c r="Q6" s="1"/>
      <c r="R6" s="1"/>
      <c r="Y6" s="39">
        <f t="shared" si="3"/>
        <v>29.08</v>
      </c>
      <c r="Z6">
        <v>1</v>
      </c>
    </row>
    <row r="7" spans="1:27" x14ac:dyDescent="0.2">
      <c r="A7" t="s">
        <v>37</v>
      </c>
      <c r="B7" t="s">
        <v>2</v>
      </c>
      <c r="C7" s="33">
        <v>28.76</v>
      </c>
      <c r="D7" s="33">
        <v>28.76</v>
      </c>
      <c r="E7" s="33">
        <v>28.76</v>
      </c>
      <c r="F7" s="33">
        <f t="shared" si="0"/>
        <v>28.76</v>
      </c>
      <c r="H7">
        <f t="shared" si="1"/>
        <v>-2.0000000000003126E-2</v>
      </c>
      <c r="I7" s="27">
        <f t="shared" si="2"/>
        <v>0.98623270449335709</v>
      </c>
      <c r="J7" s="1"/>
      <c r="K7" s="1"/>
      <c r="L7" s="1"/>
      <c r="M7" s="1"/>
      <c r="N7" s="1"/>
      <c r="O7" s="1"/>
      <c r="P7" s="1"/>
      <c r="Q7" s="1"/>
      <c r="R7" s="1"/>
      <c r="Y7" s="39">
        <f t="shared" si="3"/>
        <v>28.76</v>
      </c>
      <c r="Z7">
        <v>1</v>
      </c>
    </row>
    <row r="8" spans="1:27" x14ac:dyDescent="0.2">
      <c r="A8" t="s">
        <v>39</v>
      </c>
      <c r="B8" t="s">
        <v>1</v>
      </c>
      <c r="C8" s="33">
        <v>31.26</v>
      </c>
      <c r="D8" s="33">
        <v>31.26</v>
      </c>
      <c r="E8" s="33">
        <v>31.26</v>
      </c>
      <c r="F8" s="33">
        <f t="shared" si="0"/>
        <v>31.26</v>
      </c>
      <c r="G8">
        <f>AVERAGE(F8:F10)</f>
        <v>31.080000000000002</v>
      </c>
      <c r="H8">
        <f>$G$8-F8</f>
        <v>-0.17999999999999972</v>
      </c>
      <c r="I8" s="26">
        <f t="shared" si="2"/>
        <v>0.88270299629065507</v>
      </c>
      <c r="J8" s="26">
        <f>GEOMEAN(I2)</f>
        <v>1</v>
      </c>
      <c r="K8" s="26">
        <f>I8/GEOMEAN($J$8:$J$10)</f>
        <v>0.88270299629065652</v>
      </c>
      <c r="L8" s="1">
        <f>LOG(K8,2)</f>
        <v>-0.17999999999999733</v>
      </c>
      <c r="M8" s="4">
        <f>GEOMEAN(K8:K10)</f>
        <v>1.0000000000000024</v>
      </c>
      <c r="N8" s="1">
        <f>LOG(M8,2)</f>
        <v>3.523769154196405E-15</v>
      </c>
      <c r="O8" s="1">
        <f>_xlfn.STDEV.S(L8:L10)</f>
        <v>0.15716233645501812</v>
      </c>
      <c r="P8" s="1">
        <f>O8/SQRT(COUNT(L8:L10))</f>
        <v>9.0737717258775247E-2</v>
      </c>
      <c r="Q8" s="1">
        <f>(1+AA8)^(N8-1*P8)</f>
        <v>0.93904245022500887</v>
      </c>
      <c r="R8" s="1">
        <f>(1+AA8)^(N8+1*P8)</f>
        <v>1.0649145837447387</v>
      </c>
      <c r="S8" s="24">
        <f>ABS($M8-2^($N8-$P8))</f>
        <v>6.0957549774993569E-2</v>
      </c>
      <c r="T8" s="15">
        <f>ABS($M8-2^($N8+$P8))</f>
        <v>6.4914583744736243E-2</v>
      </c>
      <c r="U8" s="1">
        <f>(1+AA8)^($N8-$V$2*$P8)</f>
        <v>0.76291123463078014</v>
      </c>
      <c r="V8" s="1">
        <f>(1+AA8)^($N8+$V$2*$P8)</f>
        <v>1.3107684807970701</v>
      </c>
      <c r="W8" s="16">
        <f>ABS($M8-U8)</f>
        <v>0.2370887653692223</v>
      </c>
      <c r="X8" s="16">
        <f>ABS($M8-V8)</f>
        <v>0.31076848079706765</v>
      </c>
      <c r="Y8" s="1">
        <f>F8-Y$2</f>
        <v>2.5200000000000031</v>
      </c>
      <c r="Z8">
        <v>1</v>
      </c>
      <c r="AA8">
        <f>AVERAGE(Z8:Z10)</f>
        <v>1</v>
      </c>
    </row>
    <row r="9" spans="1:27" x14ac:dyDescent="0.2">
      <c r="A9" t="s">
        <v>39</v>
      </c>
      <c r="B9" t="s">
        <v>1</v>
      </c>
      <c r="C9" s="33">
        <v>31.01</v>
      </c>
      <c r="D9" s="33">
        <v>31.01</v>
      </c>
      <c r="E9" s="33">
        <v>31.01</v>
      </c>
      <c r="F9" s="33">
        <f t="shared" si="0"/>
        <v>31.01</v>
      </c>
      <c r="H9">
        <f t="shared" ref="H9:H13" si="4">$G$8-F9</f>
        <v>7.0000000000000284E-2</v>
      </c>
      <c r="I9" s="26">
        <f t="shared" si="2"/>
        <v>1.0497166836230676</v>
      </c>
      <c r="J9" s="26">
        <f t="shared" ref="J9:J10" si="5">GEOMEAN(I3)</f>
        <v>0.92658806189036669</v>
      </c>
      <c r="K9" s="26">
        <f t="shared" ref="K9:K10" si="6">I9/GEOMEAN($J$8:$J$10)</f>
        <v>1.0497166836230694</v>
      </c>
      <c r="L9" s="1">
        <f t="shared" ref="L9:L19" si="7">LOG(K9,2)</f>
        <v>7.0000000000002865E-2</v>
      </c>
      <c r="M9" s="1"/>
      <c r="N9" s="1"/>
      <c r="O9" s="17"/>
      <c r="P9" s="1"/>
      <c r="Q9" s="1"/>
      <c r="R9" s="1"/>
      <c r="S9" s="15"/>
      <c r="T9" s="15"/>
      <c r="U9" s="1"/>
      <c r="V9" s="1"/>
      <c r="W9" s="16"/>
      <c r="X9" s="16"/>
      <c r="Y9" s="1">
        <f>F9-Y$3</f>
        <v>2.1599999999999966</v>
      </c>
      <c r="Z9">
        <v>1</v>
      </c>
    </row>
    <row r="10" spans="1:27" x14ac:dyDescent="0.2">
      <c r="A10" t="s">
        <v>39</v>
      </c>
      <c r="B10" t="s">
        <v>1</v>
      </c>
      <c r="C10" s="33">
        <v>30.97</v>
      </c>
      <c r="D10" s="33">
        <v>30.97</v>
      </c>
      <c r="E10" s="33">
        <v>30.97</v>
      </c>
      <c r="F10" s="33">
        <f t="shared" si="0"/>
        <v>30.97</v>
      </c>
      <c r="H10">
        <f t="shared" si="4"/>
        <v>0.11000000000000298</v>
      </c>
      <c r="I10" s="26">
        <f t="shared" si="2"/>
        <v>1.0792282365044295</v>
      </c>
      <c r="J10" s="26">
        <f t="shared" si="5"/>
        <v>1.0792282365044268</v>
      </c>
      <c r="K10" s="26">
        <f t="shared" si="6"/>
        <v>1.0792282365044312</v>
      </c>
      <c r="L10" s="1">
        <f t="shared" si="7"/>
        <v>0.11000000000000539</v>
      </c>
      <c r="M10" s="1"/>
      <c r="N10" s="1"/>
      <c r="O10" s="1"/>
      <c r="P10" s="1"/>
      <c r="Q10" s="1"/>
      <c r="R10" s="1"/>
      <c r="S10" s="15"/>
      <c r="T10" s="15"/>
      <c r="U10" s="1"/>
      <c r="V10" s="1"/>
      <c r="W10" s="16"/>
      <c r="X10" s="16"/>
      <c r="Y10" s="1">
        <f>F10-Y$4</f>
        <v>2.34</v>
      </c>
      <c r="Z10">
        <v>1</v>
      </c>
    </row>
    <row r="11" spans="1:27" x14ac:dyDescent="0.2">
      <c r="A11" t="s">
        <v>39</v>
      </c>
      <c r="B11" t="s">
        <v>2</v>
      </c>
      <c r="C11" s="33">
        <v>32.65</v>
      </c>
      <c r="D11" s="33">
        <v>32.65</v>
      </c>
      <c r="E11" s="33">
        <v>32.65</v>
      </c>
      <c r="F11" s="33">
        <f t="shared" si="0"/>
        <v>32.65</v>
      </c>
      <c r="G11">
        <f>AVERAGE(F11:F13)</f>
        <v>32.360000000000007</v>
      </c>
      <c r="H11">
        <f t="shared" si="4"/>
        <v>-1.5699999999999967</v>
      </c>
      <c r="I11" s="26">
        <f t="shared" si="2"/>
        <v>0.33680839421642333</v>
      </c>
      <c r="J11" s="27">
        <f>GEOMEAN(I5)</f>
        <v>0.93303299153680652</v>
      </c>
      <c r="K11" s="27">
        <f>I11/GEOMEAN($J$11:$J$13)</f>
        <v>0.3745767692191716</v>
      </c>
      <c r="L11" s="1">
        <f t="shared" si="7"/>
        <v>-1.4166666666666621</v>
      </c>
      <c r="M11" s="4">
        <f>GEOMEAN(K11:K13)</f>
        <v>0.45797264513512559</v>
      </c>
      <c r="N11" s="1">
        <f>LOG(M11,2)</f>
        <v>-1.1266666666666627</v>
      </c>
      <c r="O11" s="1">
        <f>_xlfn.STDEV.S(L11:L13)</f>
        <v>0.31192947920964365</v>
      </c>
      <c r="P11" s="1">
        <f>O11/SQRT(COUNT(L11:L13))</f>
        <v>0.18009256878986754</v>
      </c>
      <c r="Q11" s="1">
        <f>(1+AA11)^(N11-1*P11)</f>
        <v>0.40422788845216007</v>
      </c>
      <c r="R11" s="1">
        <f>(1+AA11)^(N11+1*P11)</f>
        <v>0.5188631207390979</v>
      </c>
      <c r="S11" s="15">
        <f t="shared" ref="S11" si="8">ABS($M11-2^($N11-$P11))</f>
        <v>5.3744756682965522E-2</v>
      </c>
      <c r="T11" s="15">
        <f t="shared" ref="T11" si="9">ABS($M11-2^($N11+$P11))</f>
        <v>6.0890475603972316E-2</v>
      </c>
      <c r="U11" s="1">
        <f>(1+1)^($N11-$V$2*$P11)</f>
        <v>0.26765704855956701</v>
      </c>
      <c r="V11" s="1">
        <f>(1+1)^($N11+$V$2*$P11)</f>
        <v>0.78361076168478461</v>
      </c>
      <c r="W11" s="16">
        <f>ABS($M11-U11)</f>
        <v>0.19031559657555858</v>
      </c>
      <c r="X11" s="16">
        <f>ABS($M11-V11)</f>
        <v>0.32563811654965902</v>
      </c>
      <c r="Y11" s="1">
        <f>F11-Y$5</f>
        <v>3.8099999999999987</v>
      </c>
      <c r="Z11">
        <v>1</v>
      </c>
      <c r="AA11">
        <f>AVERAGE(Z11:Z13)</f>
        <v>1</v>
      </c>
    </row>
    <row r="12" spans="1:27" x14ac:dyDescent="0.2">
      <c r="A12" t="s">
        <v>39</v>
      </c>
      <c r="B12" t="s">
        <v>2</v>
      </c>
      <c r="C12" s="33">
        <v>32.03</v>
      </c>
      <c r="D12" s="33">
        <v>32.03</v>
      </c>
      <c r="E12" s="33">
        <v>32.03</v>
      </c>
      <c r="F12" s="33">
        <f t="shared" si="0"/>
        <v>32.03</v>
      </c>
      <c r="H12">
        <f t="shared" si="4"/>
        <v>-0.94999999999999929</v>
      </c>
      <c r="I12" s="26">
        <f t="shared" si="2"/>
        <v>0.51763246192068901</v>
      </c>
      <c r="J12" s="27">
        <f t="shared" ref="J12:J13" si="10">GEOMEAN(I6)</f>
        <v>0.79004131186337734</v>
      </c>
      <c r="K12" s="27">
        <f t="shared" ref="K12:K13" si="11">I12/GEOMEAN($J$11:$J$13)</f>
        <v>0.57567774009999129</v>
      </c>
      <c r="L12" s="1">
        <f t="shared" si="7"/>
        <v>-0.79666666666666452</v>
      </c>
      <c r="M12" s="1"/>
      <c r="N12" s="1"/>
      <c r="O12" s="1"/>
      <c r="P12" s="1"/>
      <c r="Q12" s="1"/>
      <c r="R12" s="1"/>
      <c r="Y12" s="1">
        <f>F12-Y$6</f>
        <v>2.9500000000000028</v>
      </c>
      <c r="Z12">
        <v>1</v>
      </c>
    </row>
    <row r="13" spans="1:27" x14ac:dyDescent="0.2">
      <c r="A13" t="s">
        <v>39</v>
      </c>
      <c r="B13" t="s">
        <v>2</v>
      </c>
      <c r="C13" s="33">
        <v>32.4</v>
      </c>
      <c r="D13" s="33">
        <v>32.4</v>
      </c>
      <c r="E13" s="33">
        <v>32.4</v>
      </c>
      <c r="F13" s="33">
        <f t="shared" si="0"/>
        <v>32.4</v>
      </c>
      <c r="H13">
        <f t="shared" si="4"/>
        <v>-1.3199999999999967</v>
      </c>
      <c r="I13" s="26">
        <f t="shared" si="2"/>
        <v>0.400534938794812</v>
      </c>
      <c r="J13" s="27">
        <f t="shared" si="10"/>
        <v>0.98623270449335709</v>
      </c>
      <c r="K13" s="27">
        <f t="shared" si="11"/>
        <v>0.44544935907017114</v>
      </c>
      <c r="L13" s="1">
        <f t="shared" si="7"/>
        <v>-1.1666666666666619</v>
      </c>
      <c r="M13" s="1"/>
      <c r="N13" s="1"/>
      <c r="O13" s="1"/>
      <c r="P13" s="1"/>
      <c r="Q13" s="1"/>
      <c r="R13" s="1"/>
      <c r="Y13" s="1">
        <f>F13-Y$7</f>
        <v>3.639999999999997</v>
      </c>
      <c r="Z13">
        <v>1</v>
      </c>
    </row>
    <row r="14" spans="1:27" x14ac:dyDescent="0.2">
      <c r="A14" s="18" t="s">
        <v>42</v>
      </c>
      <c r="B14" s="18" t="s">
        <v>1</v>
      </c>
      <c r="C14" s="23">
        <v>25</v>
      </c>
      <c r="D14" s="23">
        <v>25</v>
      </c>
      <c r="E14" s="23">
        <v>25</v>
      </c>
      <c r="F14" s="23">
        <f t="shared" si="0"/>
        <v>25</v>
      </c>
      <c r="G14" s="18">
        <f>AVERAGE(F14:F16)</f>
        <v>24</v>
      </c>
      <c r="H14" s="23">
        <f>$G$14-F14</f>
        <v>-1</v>
      </c>
      <c r="I14" s="26">
        <f t="shared" si="2"/>
        <v>0.5</v>
      </c>
      <c r="J14" s="23"/>
      <c r="K14" s="23">
        <f>I14/GEOMEAN($J$8:$J$10)</f>
        <v>0.50000000000000089</v>
      </c>
      <c r="L14" s="23">
        <f t="shared" si="7"/>
        <v>-0.99999999999999745</v>
      </c>
      <c r="M14" s="4">
        <f>GEOMEAN(K14:K16)</f>
        <v>1.0000000000000018</v>
      </c>
      <c r="N14" s="1">
        <f>LOG(M14,2)</f>
        <v>2.5627412030519321E-15</v>
      </c>
      <c r="O14" s="1">
        <f>_xlfn.STDEV.S(L14:L16)</f>
        <v>1</v>
      </c>
      <c r="P14" s="1">
        <f>O14/SQRT(COUNT(L14:L16))</f>
        <v>0.57735026918962584</v>
      </c>
      <c r="Q14" s="1">
        <f>(1+AA14)^(N14-1*P14)</f>
        <v>0.67019356101380212</v>
      </c>
      <c r="R14" s="1">
        <f>(1+AA14)^(N14+1*P14)</f>
        <v>1.4921062483610006</v>
      </c>
      <c r="S14" s="15">
        <f>ABS($M14-2^($N14-$P14))</f>
        <v>0.32980643898619966</v>
      </c>
      <c r="T14" s="15">
        <f>ABS($M14-2^($N14+$P14))</f>
        <v>0.49210624836099881</v>
      </c>
      <c r="Y14" s="1">
        <f>F14-Y$2</f>
        <v>-3.7399999999999984</v>
      </c>
      <c r="Z14">
        <v>1</v>
      </c>
      <c r="AA14">
        <f>AVERAGE(Z14:Z16)</f>
        <v>1</v>
      </c>
    </row>
    <row r="15" spans="1:27" x14ac:dyDescent="0.2">
      <c r="A15" s="18" t="s">
        <v>42</v>
      </c>
      <c r="B15" s="18" t="s">
        <v>1</v>
      </c>
      <c r="C15" s="23">
        <v>24</v>
      </c>
      <c r="D15" s="23">
        <v>24</v>
      </c>
      <c r="E15" s="23">
        <v>24</v>
      </c>
      <c r="F15" s="23">
        <f t="shared" si="0"/>
        <v>24</v>
      </c>
      <c r="G15" s="18"/>
      <c r="H15" s="23">
        <f t="shared" ref="H15:H19" si="12">$G$14-F15</f>
        <v>0</v>
      </c>
      <c r="I15" s="26">
        <f t="shared" si="2"/>
        <v>1</v>
      </c>
      <c r="J15" s="23"/>
      <c r="K15" s="23">
        <f t="shared" ref="K15:K16" si="13">I15/GEOMEAN($J$8:$J$10)</f>
        <v>1.0000000000000018</v>
      </c>
      <c r="L15" s="23">
        <f t="shared" si="7"/>
        <v>2.5627412030519321E-15</v>
      </c>
      <c r="N15" s="1"/>
      <c r="O15" s="17"/>
      <c r="P15" s="1"/>
      <c r="Q15" s="1"/>
      <c r="R15" s="1"/>
      <c r="S15" s="15"/>
      <c r="T15" s="15"/>
      <c r="Y15" s="1">
        <f>F15-Y$3</f>
        <v>-4.850000000000005</v>
      </c>
      <c r="Z15">
        <v>1</v>
      </c>
    </row>
    <row r="16" spans="1:27" x14ac:dyDescent="0.2">
      <c r="A16" s="18" t="s">
        <v>42</v>
      </c>
      <c r="B16" s="18" t="s">
        <v>1</v>
      </c>
      <c r="C16" s="23">
        <v>23</v>
      </c>
      <c r="D16" s="23">
        <v>23</v>
      </c>
      <c r="E16" s="23">
        <v>23</v>
      </c>
      <c r="F16" s="23">
        <f t="shared" si="0"/>
        <v>23</v>
      </c>
      <c r="G16" s="18"/>
      <c r="H16" s="23">
        <f t="shared" si="12"/>
        <v>1</v>
      </c>
      <c r="I16" s="26">
        <f t="shared" si="2"/>
        <v>2</v>
      </c>
      <c r="J16" s="23"/>
      <c r="K16" s="23">
        <f t="shared" si="13"/>
        <v>2.0000000000000036</v>
      </c>
      <c r="L16" s="23">
        <f t="shared" si="7"/>
        <v>1.0000000000000027</v>
      </c>
      <c r="N16" s="1"/>
      <c r="O16" s="1"/>
      <c r="P16" s="1"/>
      <c r="Q16" s="1"/>
      <c r="R16" s="1"/>
      <c r="S16" s="15"/>
      <c r="T16" s="15"/>
      <c r="Y16" s="1">
        <f>F16-Y$4</f>
        <v>-5.629999999999999</v>
      </c>
      <c r="Z16">
        <v>1</v>
      </c>
    </row>
    <row r="17" spans="1:27" x14ac:dyDescent="0.2">
      <c r="A17" s="18" t="s">
        <v>42</v>
      </c>
      <c r="B17" s="18" t="s">
        <v>2</v>
      </c>
      <c r="C17" s="23">
        <v>29</v>
      </c>
      <c r="D17" s="23">
        <v>29</v>
      </c>
      <c r="E17" s="23">
        <v>29</v>
      </c>
      <c r="F17" s="23">
        <f t="shared" si="0"/>
        <v>29</v>
      </c>
      <c r="G17" s="18">
        <f>AVERAGE(F17:F19)</f>
        <v>29</v>
      </c>
      <c r="H17" s="23">
        <f t="shared" si="12"/>
        <v>-5</v>
      </c>
      <c r="I17" s="26">
        <f t="shared" si="2"/>
        <v>3.125E-2</v>
      </c>
      <c r="J17" s="23"/>
      <c r="K17" s="23">
        <f>I17/GEOMEAN($J$11:$J$13)</f>
        <v>3.4754252682246037E-2</v>
      </c>
      <c r="L17" s="23">
        <f t="shared" si="7"/>
        <v>-4.8466666666666658</v>
      </c>
      <c r="M17" s="4">
        <f>GEOMEAN(K17:K19)</f>
        <v>3.4754252682246037E-2</v>
      </c>
      <c r="N17" s="1">
        <f>LOG(M17,2)</f>
        <v>-4.8466666666666658</v>
      </c>
      <c r="O17" s="1">
        <f>_xlfn.STDEV.S(L17:L19)</f>
        <v>0</v>
      </c>
      <c r="P17" s="1">
        <f>O17/SQRT(COUNT(L17:L19))</f>
        <v>0</v>
      </c>
      <c r="Q17" s="1">
        <f>(1+AA17)^(N17-1*P17)</f>
        <v>3.475425268224603E-2</v>
      </c>
      <c r="R17" s="1">
        <f>(1+AA17)^(N17+1*P17)</f>
        <v>3.475425268224603E-2</v>
      </c>
      <c r="S17" s="15">
        <f t="shared" ref="S17" si="14">ABS($M17-2^($N17-$P17))</f>
        <v>6.9388939039072284E-18</v>
      </c>
      <c r="T17" s="15">
        <f t="shared" ref="T17" si="15">ABS($M17-2^($N17+$P17))</f>
        <v>6.9388939039072284E-18</v>
      </c>
      <c r="Y17" s="1">
        <f>F17-Y$5</f>
        <v>0.16000000000000014</v>
      </c>
      <c r="Z17">
        <v>1</v>
      </c>
      <c r="AA17">
        <f>AVERAGE(Z17:Z19)</f>
        <v>1</v>
      </c>
    </row>
    <row r="18" spans="1:27" x14ac:dyDescent="0.2">
      <c r="A18" s="18" t="s">
        <v>42</v>
      </c>
      <c r="B18" s="18" t="s">
        <v>2</v>
      </c>
      <c r="C18" s="23">
        <v>29</v>
      </c>
      <c r="D18" s="23">
        <v>29</v>
      </c>
      <c r="E18" s="23">
        <v>29</v>
      </c>
      <c r="F18" s="23">
        <f t="shared" si="0"/>
        <v>29</v>
      </c>
      <c r="G18" s="23"/>
      <c r="H18" s="23">
        <f t="shared" si="12"/>
        <v>-5</v>
      </c>
      <c r="I18" s="26">
        <f t="shared" si="2"/>
        <v>3.125E-2</v>
      </c>
      <c r="J18" s="23"/>
      <c r="K18" s="23">
        <f t="shared" ref="K18:K19" si="16">I18/GEOMEAN($J$11:$J$13)</f>
        <v>3.4754252682246037E-2</v>
      </c>
      <c r="L18" s="23">
        <f t="shared" si="7"/>
        <v>-4.8466666666666658</v>
      </c>
      <c r="N18" s="1"/>
      <c r="Y18" s="1">
        <f>F18-Y$6</f>
        <v>-7.9999999999998295E-2</v>
      </c>
      <c r="Z18">
        <v>1</v>
      </c>
    </row>
    <row r="19" spans="1:27" x14ac:dyDescent="0.2">
      <c r="A19" s="18" t="s">
        <v>42</v>
      </c>
      <c r="B19" s="18" t="s">
        <v>2</v>
      </c>
      <c r="C19" s="23">
        <v>29</v>
      </c>
      <c r="D19" s="23">
        <v>29</v>
      </c>
      <c r="E19" s="23">
        <v>29</v>
      </c>
      <c r="F19" s="23">
        <f t="shared" si="0"/>
        <v>29</v>
      </c>
      <c r="G19" s="23"/>
      <c r="H19" s="23">
        <f t="shared" si="12"/>
        <v>-5</v>
      </c>
      <c r="I19" s="26">
        <f t="shared" si="2"/>
        <v>3.125E-2</v>
      </c>
      <c r="J19" s="18"/>
      <c r="K19" s="23">
        <f t="shared" si="16"/>
        <v>3.4754252682246037E-2</v>
      </c>
      <c r="L19" s="23">
        <f t="shared" si="7"/>
        <v>-4.8466666666666658</v>
      </c>
      <c r="N19" s="1"/>
      <c r="Y19" s="1">
        <f>F19-Y$7</f>
        <v>0.23999999999999844</v>
      </c>
      <c r="Z19">
        <v>1</v>
      </c>
    </row>
    <row r="20" spans="1:27" s="19" customFormat="1" x14ac:dyDescent="0.2">
      <c r="G20" s="20"/>
      <c r="H20" s="20"/>
      <c r="I20" s="20"/>
    </row>
    <row r="21" spans="1:27" s="21" customFormat="1" x14ac:dyDescent="0.2">
      <c r="G21" s="22"/>
      <c r="H21" s="22"/>
      <c r="I21" s="22"/>
    </row>
    <row r="22" spans="1:27" s="21" customFormat="1" x14ac:dyDescent="0.2">
      <c r="A22" s="40" t="s">
        <v>60</v>
      </c>
      <c r="B22" s="40"/>
      <c r="C22" s="38" t="s">
        <v>59</v>
      </c>
      <c r="D22" s="38" t="str">
        <f>IF(C22="YES",AVERAGE((AVERAGE(C2:C4) - AVERAGE(C5:C7))),"no calibrator" )</f>
        <v>no calibrator</v>
      </c>
      <c r="E22" s="41"/>
      <c r="F22" s="41"/>
      <c r="G22" s="22"/>
      <c r="H22" s="22"/>
      <c r="I22" s="22"/>
    </row>
    <row r="23" spans="1:27" s="21" customFormat="1" x14ac:dyDescent="0.2">
      <c r="G23" s="22"/>
      <c r="H23" s="22"/>
      <c r="I23" s="22"/>
    </row>
    <row r="24" spans="1:27" ht="16.5" customHeight="1" x14ac:dyDescent="0.2">
      <c r="A24" t="str">
        <f>A2</f>
        <v>reference-1</v>
      </c>
      <c r="C24" t="str">
        <f>IF($C$22="YES",B24+$D$22,"")</f>
        <v/>
      </c>
      <c r="E24" s="42" t="s">
        <v>8</v>
      </c>
      <c r="F24" s="42"/>
      <c r="G24" s="12" t="s">
        <v>39</v>
      </c>
      <c r="H24" s="18" t="s">
        <v>42</v>
      </c>
      <c r="N24" s="12"/>
      <c r="O24" s="12"/>
    </row>
    <row r="25" spans="1:27" x14ac:dyDescent="0.2">
      <c r="A25" t="str">
        <f t="shared" ref="A25:A29" si="17">A3</f>
        <v>reference-1</v>
      </c>
      <c r="C25" t="str">
        <f t="shared" ref="C25:C29" si="18">IF($C$22="YES",B25+$D$22,"")</f>
        <v/>
      </c>
      <c r="F25" t="s">
        <v>22</v>
      </c>
      <c r="G25" s="4">
        <f>M8</f>
        <v>1.0000000000000024</v>
      </c>
      <c r="H25" s="23">
        <f>M14</f>
        <v>1.0000000000000018</v>
      </c>
      <c r="K25" s="30"/>
    </row>
    <row r="26" spans="1:27" x14ac:dyDescent="0.2">
      <c r="A26" t="str">
        <f t="shared" si="17"/>
        <v>reference-1</v>
      </c>
      <c r="C26" t="str">
        <f t="shared" si="18"/>
        <v/>
      </c>
      <c r="F26" t="s">
        <v>41</v>
      </c>
      <c r="G26" s="4">
        <f>M11</f>
        <v>0.45797264513512559</v>
      </c>
      <c r="H26" s="23">
        <f>M17</f>
        <v>3.4754252682246037E-2</v>
      </c>
    </row>
    <row r="27" spans="1:27" x14ac:dyDescent="0.2">
      <c r="A27" t="str">
        <f t="shared" si="17"/>
        <v>reference-1</v>
      </c>
      <c r="C27" t="str">
        <f t="shared" si="18"/>
        <v/>
      </c>
      <c r="P27" s="12"/>
    </row>
    <row r="28" spans="1:27" x14ac:dyDescent="0.2">
      <c r="A28" t="str">
        <f t="shared" si="17"/>
        <v>reference-1</v>
      </c>
      <c r="C28" t="str">
        <f t="shared" si="18"/>
        <v/>
      </c>
    </row>
    <row r="29" spans="1:27" x14ac:dyDescent="0.2">
      <c r="A29" t="str">
        <f t="shared" si="17"/>
        <v>reference-1</v>
      </c>
      <c r="C29" t="str">
        <f t="shared" si="18"/>
        <v/>
      </c>
      <c r="E29" t="s">
        <v>22</v>
      </c>
      <c r="F29" s="12" t="str">
        <f>G24</f>
        <v>target-1</v>
      </c>
      <c r="G29" s="25" t="str">
        <f>H24</f>
        <v>target-2</v>
      </c>
    </row>
    <row r="30" spans="1:27" x14ac:dyDescent="0.2">
      <c r="E30" t="s">
        <v>5</v>
      </c>
      <c r="F30" s="15">
        <f>S8</f>
        <v>6.0957549774993569E-2</v>
      </c>
      <c r="G30" s="23">
        <f>S14</f>
        <v>0.32980643898619966</v>
      </c>
    </row>
    <row r="31" spans="1:27" x14ac:dyDescent="0.2">
      <c r="E31" t="s">
        <v>6</v>
      </c>
      <c r="F31" s="15">
        <f>T8</f>
        <v>6.4914583744736243E-2</v>
      </c>
      <c r="G31" s="23">
        <f>T14</f>
        <v>0.49210624836099881</v>
      </c>
    </row>
    <row r="33" spans="5:7" x14ac:dyDescent="0.2">
      <c r="E33" t="s">
        <v>2</v>
      </c>
      <c r="G33" s="18"/>
    </row>
    <row r="34" spans="5:7" x14ac:dyDescent="0.2">
      <c r="E34" t="s">
        <v>5</v>
      </c>
      <c r="F34" s="15">
        <f>S11</f>
        <v>5.3744756682965522E-2</v>
      </c>
      <c r="G34" s="23">
        <f>S17</f>
        <v>6.9388939039072284E-18</v>
      </c>
    </row>
    <row r="35" spans="5:7" x14ac:dyDescent="0.2">
      <c r="E35" t="s">
        <v>6</v>
      </c>
      <c r="F35" s="15">
        <f>T11</f>
        <v>6.0890475603972316E-2</v>
      </c>
      <c r="G35" s="23">
        <f>T17</f>
        <v>6.9388939039072284E-18</v>
      </c>
    </row>
    <row r="63" spans="1:5" x14ac:dyDescent="0.2">
      <c r="A63" s="43" t="s">
        <v>47</v>
      </c>
      <c r="B63" s="44"/>
      <c r="C63" s="44"/>
      <c r="D63" s="44"/>
      <c r="E63" s="45"/>
    </row>
    <row r="64" spans="1:5" x14ac:dyDescent="0.2">
      <c r="A64" s="46"/>
      <c r="B64" s="47"/>
      <c r="C64" s="47"/>
      <c r="D64" s="47"/>
      <c r="E64" s="48"/>
    </row>
    <row r="65" spans="1:5" x14ac:dyDescent="0.2">
      <c r="A65" s="46"/>
      <c r="B65" s="47"/>
      <c r="C65" s="47"/>
      <c r="D65" s="47"/>
      <c r="E65" s="48"/>
    </row>
    <row r="66" spans="1:5" x14ac:dyDescent="0.2">
      <c r="A66" s="49"/>
      <c r="B66" s="50"/>
      <c r="C66" s="50"/>
      <c r="D66" s="50"/>
      <c r="E66" s="51"/>
    </row>
  </sheetData>
  <mergeCells count="4">
    <mergeCell ref="A22:B22"/>
    <mergeCell ref="E22:F22"/>
    <mergeCell ref="E24:F24"/>
    <mergeCell ref="A63:E66"/>
  </mergeCells>
  <dataValidations count="1">
    <dataValidation type="list" allowBlank="1" showInputMessage="1" showErrorMessage="1" errorTitle="inter-run calilbrator" error="please selecte YES or NO" promptTitle="inter-run calibrator" prompt="Chose if you want to know the inter-run calibrator value. This values will be added to the reference Cq of the second run" sqref="C22" xr:uid="{96CBB378-CF24-4CDB-AD83-5354B6D81043}">
      <formula1>"YES, 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7F110-D623-41CA-A8E9-8D9411558A2D}">
  <dimension ref="A1:AA72"/>
  <sheetViews>
    <sheetView zoomScale="85" zoomScaleNormal="85" workbookViewId="0">
      <selection activeCell="J19" sqref="J19"/>
    </sheetView>
  </sheetViews>
  <sheetFormatPr defaultRowHeight="14.25" x14ac:dyDescent="0.2"/>
  <cols>
    <col min="1" max="1" width="10.875" bestFit="1" customWidth="1"/>
    <col min="2" max="2" width="17.5" bestFit="1" customWidth="1"/>
    <col min="3" max="3" width="15.25" bestFit="1" customWidth="1"/>
    <col min="4" max="4" width="15.125" customWidth="1"/>
    <col min="5" max="5" width="13.75" bestFit="1" customWidth="1"/>
    <col min="6" max="6" width="9.5" bestFit="1" customWidth="1"/>
    <col min="7" max="7" width="16.375" bestFit="1" customWidth="1"/>
    <col min="8" max="8" width="16" bestFit="1" customWidth="1"/>
    <col min="9" max="9" width="13.875" bestFit="1" customWidth="1"/>
    <col min="10" max="10" width="11.875" bestFit="1" customWidth="1"/>
    <col min="11" max="11" width="16.625" bestFit="1" customWidth="1"/>
    <col min="12" max="12" width="13.625" bestFit="1" customWidth="1"/>
    <col min="13" max="13" width="13.875" bestFit="1" customWidth="1"/>
    <col min="14" max="14" width="12.125" bestFit="1" customWidth="1"/>
    <col min="15" max="15" width="7.875" customWidth="1"/>
    <col min="16" max="16" width="7.5" bestFit="1" customWidth="1"/>
    <col min="17" max="17" width="7.875" bestFit="1" customWidth="1"/>
    <col min="18" max="18" width="8.125" bestFit="1" customWidth="1"/>
    <col min="20" max="20" width="9.25" bestFit="1" customWidth="1"/>
    <col min="21" max="21" width="9.5" hidden="1" customWidth="1"/>
    <col min="22" max="24" width="9" hidden="1" customWidth="1"/>
  </cols>
  <sheetData>
    <row r="1" spans="1:27" ht="60" customHeight="1" x14ac:dyDescent="0.2">
      <c r="A1" s="34" t="s">
        <v>7</v>
      </c>
      <c r="B1" s="34" t="s">
        <v>8</v>
      </c>
      <c r="C1" s="32" t="s">
        <v>56</v>
      </c>
      <c r="D1" s="32" t="s">
        <v>57</v>
      </c>
      <c r="E1" s="32" t="s">
        <v>58</v>
      </c>
      <c r="F1" s="32" t="s">
        <v>9</v>
      </c>
      <c r="G1" s="34" t="s">
        <v>10</v>
      </c>
      <c r="H1" s="34" t="s">
        <v>11</v>
      </c>
      <c r="I1" s="34" t="s">
        <v>12</v>
      </c>
      <c r="J1" s="34" t="s">
        <v>13</v>
      </c>
      <c r="K1" s="34" t="s">
        <v>14</v>
      </c>
      <c r="L1" s="34" t="s">
        <v>15</v>
      </c>
      <c r="M1" s="34" t="s">
        <v>16</v>
      </c>
      <c r="N1" s="34" t="s">
        <v>17</v>
      </c>
      <c r="O1" s="34" t="s">
        <v>21</v>
      </c>
      <c r="P1" s="34" t="s">
        <v>18</v>
      </c>
      <c r="Q1" s="34" t="s">
        <v>45</v>
      </c>
      <c r="R1" s="34" t="s">
        <v>46</v>
      </c>
      <c r="S1" s="13" t="s">
        <v>62</v>
      </c>
      <c r="T1" s="13" t="s">
        <v>63</v>
      </c>
      <c r="U1" s="31" t="s">
        <v>19</v>
      </c>
      <c r="V1" s="31" t="s">
        <v>20</v>
      </c>
      <c r="W1" s="13" t="s">
        <v>43</v>
      </c>
      <c r="X1" s="13" t="s">
        <v>44</v>
      </c>
      <c r="Y1" s="13" t="s">
        <v>55</v>
      </c>
      <c r="Z1" s="13" t="s">
        <v>61</v>
      </c>
      <c r="AA1" s="13" t="s">
        <v>64</v>
      </c>
    </row>
    <row r="2" spans="1:27" x14ac:dyDescent="0.2">
      <c r="A2" t="s">
        <v>37</v>
      </c>
      <c r="B2" t="s">
        <v>1</v>
      </c>
      <c r="C2" s="33">
        <v>28.74</v>
      </c>
      <c r="D2" s="33">
        <v>28.74</v>
      </c>
      <c r="E2" s="33">
        <v>28.74</v>
      </c>
      <c r="F2" s="33">
        <f>AVERAGE(C2:E2)</f>
        <v>28.74</v>
      </c>
      <c r="G2">
        <f>AVERAGE(F2:F4)</f>
        <v>28.74</v>
      </c>
      <c r="H2">
        <f>$G$2-F2</f>
        <v>0</v>
      </c>
      <c r="I2" s="26">
        <f>(1+Z2)^H2</f>
        <v>1</v>
      </c>
      <c r="J2" s="1"/>
      <c r="K2" s="1"/>
      <c r="L2" s="1"/>
      <c r="M2" s="1"/>
      <c r="N2" s="1"/>
      <c r="O2" s="1"/>
      <c r="P2" s="1"/>
      <c r="Q2" s="1"/>
      <c r="R2" s="1"/>
      <c r="U2" t="s">
        <v>40</v>
      </c>
      <c r="V2">
        <f>_xlfn.T.INV.2T(0.05,COUNT(L14:L16)-1)</f>
        <v>4.3026527297494637</v>
      </c>
      <c r="Z2">
        <v>1</v>
      </c>
    </row>
    <row r="3" spans="1:27" ht="14.25" customHeight="1" x14ac:dyDescent="0.2">
      <c r="A3" t="s">
        <v>37</v>
      </c>
      <c r="B3" t="s">
        <v>1</v>
      </c>
      <c r="C3" s="33">
        <v>28.85</v>
      </c>
      <c r="D3" s="33">
        <v>28.85</v>
      </c>
      <c r="E3" s="33">
        <v>28.85</v>
      </c>
      <c r="F3" s="33">
        <f t="shared" ref="F3:F25" si="0">AVERAGE(C3:E3)</f>
        <v>28.850000000000005</v>
      </c>
      <c r="H3">
        <f t="shared" ref="H3:H7" si="1">$G$2-F3</f>
        <v>-0.11000000000000654</v>
      </c>
      <c r="I3" s="26">
        <f t="shared" ref="I3:I25" si="2">(1+Z3)^H3</f>
        <v>0.92658806189036669</v>
      </c>
      <c r="J3" s="1"/>
      <c r="K3" s="1"/>
      <c r="L3" s="1"/>
      <c r="M3" s="1"/>
      <c r="N3" s="1"/>
      <c r="O3" s="1"/>
      <c r="P3" s="1"/>
      <c r="Q3" s="1"/>
      <c r="R3" s="1"/>
      <c r="Z3">
        <v>1</v>
      </c>
    </row>
    <row r="4" spans="1:27" x14ac:dyDescent="0.2">
      <c r="A4" t="s">
        <v>37</v>
      </c>
      <c r="B4" t="s">
        <v>1</v>
      </c>
      <c r="C4" s="33">
        <v>28.63</v>
      </c>
      <c r="D4" s="33">
        <v>28.63</v>
      </c>
      <c r="E4" s="33">
        <v>28.63</v>
      </c>
      <c r="F4" s="33">
        <f t="shared" si="0"/>
        <v>28.63</v>
      </c>
      <c r="H4">
        <f t="shared" si="1"/>
        <v>0.10999999999999943</v>
      </c>
      <c r="I4" s="26">
        <f t="shared" si="2"/>
        <v>1.0792282365044268</v>
      </c>
      <c r="J4" s="1"/>
      <c r="K4" s="1"/>
      <c r="L4" s="1"/>
      <c r="M4" s="1"/>
      <c r="N4" s="1"/>
      <c r="O4" s="1"/>
      <c r="P4" s="1"/>
      <c r="Q4" s="1"/>
      <c r="R4" s="1"/>
      <c r="Z4">
        <v>1</v>
      </c>
    </row>
    <row r="5" spans="1:27" x14ac:dyDescent="0.2">
      <c r="A5" t="s">
        <v>37</v>
      </c>
      <c r="B5" t="s">
        <v>2</v>
      </c>
      <c r="C5" s="33">
        <v>28.84</v>
      </c>
      <c r="D5" s="33">
        <v>28.84</v>
      </c>
      <c r="E5" s="33">
        <v>28.84</v>
      </c>
      <c r="F5" s="33">
        <f t="shared" si="0"/>
        <v>28.84</v>
      </c>
      <c r="H5">
        <f t="shared" si="1"/>
        <v>-0.10000000000000142</v>
      </c>
      <c r="I5" s="27">
        <f t="shared" si="2"/>
        <v>0.93303299153680652</v>
      </c>
      <c r="J5" s="1"/>
      <c r="K5" s="1"/>
      <c r="L5" s="1"/>
      <c r="M5" s="1"/>
      <c r="N5" s="1"/>
      <c r="O5" s="1"/>
      <c r="P5" s="1"/>
      <c r="Q5" s="1"/>
      <c r="R5" s="1"/>
      <c r="Z5">
        <v>1</v>
      </c>
    </row>
    <row r="6" spans="1:27" x14ac:dyDescent="0.2">
      <c r="A6" t="s">
        <v>37</v>
      </c>
      <c r="B6" t="s">
        <v>2</v>
      </c>
      <c r="C6" s="33">
        <v>29.08</v>
      </c>
      <c r="D6" s="33">
        <v>29.08</v>
      </c>
      <c r="E6" s="33">
        <v>29.08</v>
      </c>
      <c r="F6" s="33">
        <f t="shared" si="0"/>
        <v>29.08</v>
      </c>
      <c r="H6">
        <f t="shared" si="1"/>
        <v>-0.33999999999999986</v>
      </c>
      <c r="I6" s="27">
        <f t="shared" si="2"/>
        <v>0.79004131186337734</v>
      </c>
      <c r="J6" s="1"/>
      <c r="K6" s="1"/>
      <c r="L6" s="1"/>
      <c r="M6" s="1"/>
      <c r="N6" s="1"/>
      <c r="O6" s="1"/>
      <c r="P6" s="1"/>
      <c r="Q6" s="1"/>
      <c r="R6" s="1"/>
      <c r="Z6">
        <v>1</v>
      </c>
    </row>
    <row r="7" spans="1:27" x14ac:dyDescent="0.2">
      <c r="A7" t="s">
        <v>37</v>
      </c>
      <c r="B7" t="s">
        <v>2</v>
      </c>
      <c r="C7" s="33">
        <v>28.76</v>
      </c>
      <c r="D7" s="33">
        <v>28.76</v>
      </c>
      <c r="E7" s="33">
        <v>28.76</v>
      </c>
      <c r="F7" s="33">
        <f t="shared" si="0"/>
        <v>28.76</v>
      </c>
      <c r="H7">
        <f t="shared" si="1"/>
        <v>-2.0000000000003126E-2</v>
      </c>
      <c r="I7" s="27">
        <f t="shared" si="2"/>
        <v>0.98623270449335709</v>
      </c>
      <c r="J7" s="1"/>
      <c r="K7" s="1"/>
      <c r="L7" s="1"/>
      <c r="M7" s="1"/>
      <c r="N7" s="1"/>
      <c r="O7" s="1"/>
      <c r="P7" s="1"/>
      <c r="Q7" s="1"/>
      <c r="R7" s="1"/>
      <c r="Z7">
        <v>1</v>
      </c>
    </row>
    <row r="8" spans="1:27" x14ac:dyDescent="0.2">
      <c r="A8" t="s">
        <v>38</v>
      </c>
      <c r="B8" t="s">
        <v>1</v>
      </c>
      <c r="C8" s="33">
        <v>29</v>
      </c>
      <c r="D8" s="33">
        <v>29</v>
      </c>
      <c r="E8" s="33">
        <v>29</v>
      </c>
      <c r="F8" s="33">
        <f t="shared" si="0"/>
        <v>29</v>
      </c>
      <c r="G8">
        <f>AVERAGE(F8:F10)</f>
        <v>28.5</v>
      </c>
      <c r="H8">
        <f>$G$8-F8</f>
        <v>-0.5</v>
      </c>
      <c r="I8" s="26">
        <f t="shared" si="2"/>
        <v>0.70710678118654746</v>
      </c>
      <c r="J8" s="1"/>
      <c r="K8" s="1"/>
      <c r="L8" s="1"/>
      <c r="M8" s="1"/>
      <c r="N8" s="1"/>
      <c r="O8" s="1"/>
      <c r="P8" s="1"/>
      <c r="Q8" s="1"/>
      <c r="R8" s="1"/>
      <c r="Y8" s="26">
        <f t="shared" ref="Y8:Y13" si="3">AVERAGE(F2,F8)</f>
        <v>28.869999999999997</v>
      </c>
      <c r="Z8">
        <v>1</v>
      </c>
    </row>
    <row r="9" spans="1:27" x14ac:dyDescent="0.2">
      <c r="A9" t="s">
        <v>38</v>
      </c>
      <c r="B9" t="s">
        <v>1</v>
      </c>
      <c r="C9" s="33">
        <v>28</v>
      </c>
      <c r="D9" s="33">
        <v>28</v>
      </c>
      <c r="E9" s="33">
        <v>28</v>
      </c>
      <c r="F9" s="33">
        <f t="shared" si="0"/>
        <v>28</v>
      </c>
      <c r="H9">
        <f t="shared" ref="H9:H13" si="4">$G$8-F9</f>
        <v>0.5</v>
      </c>
      <c r="I9" s="26">
        <f t="shared" si="2"/>
        <v>1.4142135623730951</v>
      </c>
      <c r="J9" s="1"/>
      <c r="K9" s="1"/>
      <c r="L9" s="1"/>
      <c r="M9" s="1"/>
      <c r="N9" s="1"/>
      <c r="O9" s="1"/>
      <c r="P9" s="1"/>
      <c r="Q9" s="1"/>
      <c r="R9" s="1"/>
      <c r="Y9" s="26">
        <f t="shared" si="3"/>
        <v>28.425000000000004</v>
      </c>
      <c r="Z9">
        <v>1</v>
      </c>
    </row>
    <row r="10" spans="1:27" x14ac:dyDescent="0.2">
      <c r="A10" t="s">
        <v>38</v>
      </c>
      <c r="B10" t="s">
        <v>1</v>
      </c>
      <c r="C10" s="33">
        <v>28.5</v>
      </c>
      <c r="D10" s="33">
        <v>28.5</v>
      </c>
      <c r="E10" s="33">
        <v>28.5</v>
      </c>
      <c r="F10" s="33">
        <f t="shared" si="0"/>
        <v>28.5</v>
      </c>
      <c r="H10">
        <f t="shared" si="4"/>
        <v>0</v>
      </c>
      <c r="I10" s="26">
        <f t="shared" si="2"/>
        <v>1</v>
      </c>
      <c r="J10" s="1"/>
      <c r="K10" s="1"/>
      <c r="L10" s="1"/>
      <c r="M10" s="1"/>
      <c r="N10" s="1"/>
      <c r="O10" s="1"/>
      <c r="P10" s="1"/>
      <c r="Q10" s="1"/>
      <c r="R10" s="1"/>
      <c r="Y10" s="26">
        <f t="shared" si="3"/>
        <v>28.564999999999998</v>
      </c>
      <c r="Z10">
        <v>1</v>
      </c>
    </row>
    <row r="11" spans="1:27" x14ac:dyDescent="0.2">
      <c r="A11" t="s">
        <v>38</v>
      </c>
      <c r="B11" t="s">
        <v>2</v>
      </c>
      <c r="C11" s="33">
        <v>27.8</v>
      </c>
      <c r="D11" s="33">
        <v>27.8</v>
      </c>
      <c r="E11" s="33">
        <v>27.8</v>
      </c>
      <c r="F11" s="33">
        <f t="shared" si="0"/>
        <v>27.8</v>
      </c>
      <c r="H11">
        <f t="shared" si="4"/>
        <v>0.69999999999999929</v>
      </c>
      <c r="I11" s="27">
        <f t="shared" si="2"/>
        <v>1.6245047927124703</v>
      </c>
      <c r="J11" s="1"/>
      <c r="K11" s="1"/>
      <c r="L11" s="1"/>
      <c r="M11" s="1"/>
      <c r="N11" s="1"/>
      <c r="O11" s="1"/>
      <c r="P11" s="1"/>
      <c r="Q11" s="1"/>
      <c r="R11" s="1"/>
      <c r="Y11" s="27">
        <f t="shared" si="3"/>
        <v>28.32</v>
      </c>
      <c r="Z11">
        <v>1</v>
      </c>
    </row>
    <row r="12" spans="1:27" x14ac:dyDescent="0.2">
      <c r="A12" t="s">
        <v>38</v>
      </c>
      <c r="B12" t="s">
        <v>2</v>
      </c>
      <c r="C12" s="33">
        <v>29.2</v>
      </c>
      <c r="D12" s="33">
        <v>29.2</v>
      </c>
      <c r="E12" s="33">
        <v>29.2</v>
      </c>
      <c r="F12" s="33">
        <f t="shared" si="0"/>
        <v>29.2</v>
      </c>
      <c r="H12">
        <f t="shared" si="4"/>
        <v>-0.69999999999999929</v>
      </c>
      <c r="I12" s="27">
        <f t="shared" si="2"/>
        <v>0.61557220667245838</v>
      </c>
      <c r="J12" s="1"/>
      <c r="K12" s="1"/>
      <c r="L12" s="1"/>
      <c r="M12" s="1"/>
      <c r="N12" s="1"/>
      <c r="O12" s="1"/>
      <c r="P12" s="1"/>
      <c r="Q12" s="1"/>
      <c r="R12" s="1"/>
      <c r="Y12" s="27">
        <f t="shared" si="3"/>
        <v>29.14</v>
      </c>
      <c r="Z12">
        <v>1</v>
      </c>
    </row>
    <row r="13" spans="1:27" x14ac:dyDescent="0.2">
      <c r="A13" t="s">
        <v>38</v>
      </c>
      <c r="B13" t="s">
        <v>2</v>
      </c>
      <c r="C13" s="33">
        <v>28.5</v>
      </c>
      <c r="D13" s="33">
        <v>28.5</v>
      </c>
      <c r="E13" s="33">
        <v>28.5</v>
      </c>
      <c r="F13" s="33">
        <f t="shared" si="0"/>
        <v>28.5</v>
      </c>
      <c r="H13">
        <f t="shared" si="4"/>
        <v>0</v>
      </c>
      <c r="I13" s="27">
        <f t="shared" si="2"/>
        <v>1</v>
      </c>
      <c r="J13" s="1"/>
      <c r="K13" s="1"/>
      <c r="L13" s="1"/>
      <c r="M13" s="1"/>
      <c r="N13" s="1"/>
      <c r="Q13" s="1"/>
      <c r="R13" s="1"/>
      <c r="Y13" s="27">
        <f t="shared" si="3"/>
        <v>28.630000000000003</v>
      </c>
      <c r="Z13">
        <v>1</v>
      </c>
    </row>
    <row r="14" spans="1:27" x14ac:dyDescent="0.2">
      <c r="A14" t="s">
        <v>39</v>
      </c>
      <c r="B14" t="s">
        <v>1</v>
      </c>
      <c r="C14" s="33">
        <v>31.26</v>
      </c>
      <c r="D14" s="33">
        <v>31.26</v>
      </c>
      <c r="E14" s="33">
        <v>31.26</v>
      </c>
      <c r="F14" s="33">
        <f t="shared" si="0"/>
        <v>31.26</v>
      </c>
      <c r="G14">
        <f>AVERAGE(F14:F16)</f>
        <v>31.080000000000002</v>
      </c>
      <c r="H14">
        <f>$G$14-F14</f>
        <v>-0.17999999999999972</v>
      </c>
      <c r="I14" s="26">
        <f t="shared" si="2"/>
        <v>0.88270299629065507</v>
      </c>
      <c r="J14" s="26">
        <f>GEOMEAN(I2,I8)</f>
        <v>0.8408964152537145</v>
      </c>
      <c r="K14" s="26">
        <f>I14/GEOMEAN($J$14:$J$16)</f>
        <v>0.88270299629065574</v>
      </c>
      <c r="L14" s="1">
        <f>LOG(K14,2)</f>
        <v>-0.17999999999999858</v>
      </c>
      <c r="M14" s="4">
        <f>GEOMEAN(K14:K16)</f>
        <v>1.0000000000000018</v>
      </c>
      <c r="N14" s="1">
        <f>LOG(M14,2)</f>
        <v>2.5627412030519321E-15</v>
      </c>
      <c r="O14" s="1">
        <f>_xlfn.STDEV.S(L14:L16)</f>
        <v>0.15716233645501812</v>
      </c>
      <c r="P14" s="1">
        <f>O14/SQRT(COUNT(L14:L16))</f>
        <v>9.0737717258775247E-2</v>
      </c>
      <c r="Q14" s="1">
        <f>(1+AA14)^(N14-1*P14)</f>
        <v>0.93904245022500832</v>
      </c>
      <c r="R14" s="1">
        <f>(1+AA14)^(N14+1*P14)</f>
        <v>1.064914583744738</v>
      </c>
      <c r="S14" s="24">
        <f>ABS($M14-2^($N14-$P14))</f>
        <v>6.0957549774993458E-2</v>
      </c>
      <c r="T14" s="15">
        <f>ABS($M14-2^($N14+$P14))</f>
        <v>6.4914583744736243E-2</v>
      </c>
      <c r="U14" s="1">
        <f>(1+AA14)^($N14-$V$2*$P14)</f>
        <v>0.76291123463077959</v>
      </c>
      <c r="V14" s="1">
        <f>(1+AA14)^($N14+$V$2*$P14)</f>
        <v>1.3107684807970694</v>
      </c>
      <c r="W14" s="16">
        <f>ABS($M14-U14)</f>
        <v>0.23708876536922219</v>
      </c>
      <c r="X14" s="16">
        <f>ABS($M14-V14)</f>
        <v>0.31076848079706765</v>
      </c>
      <c r="Y14" s="1">
        <f>F14-Y$8</f>
        <v>2.3900000000000041</v>
      </c>
      <c r="Z14">
        <v>1</v>
      </c>
      <c r="AA14">
        <f>AVERAGE(Z14:Z16)</f>
        <v>1</v>
      </c>
    </row>
    <row r="15" spans="1:27" x14ac:dyDescent="0.2">
      <c r="A15" t="s">
        <v>39</v>
      </c>
      <c r="B15" t="s">
        <v>1</v>
      </c>
      <c r="C15" s="33">
        <v>31.01</v>
      </c>
      <c r="D15" s="33">
        <v>31.01</v>
      </c>
      <c r="E15" s="33">
        <v>31.01</v>
      </c>
      <c r="F15" s="33">
        <f t="shared" si="0"/>
        <v>31.01</v>
      </c>
      <c r="H15">
        <f t="shared" ref="H15:H19" si="5">$G$14-F15</f>
        <v>7.0000000000000284E-2</v>
      </c>
      <c r="I15" s="26">
        <f t="shared" si="2"/>
        <v>1.0497166836230676</v>
      </c>
      <c r="J15" s="26">
        <f t="shared" ref="J15:J19" si="6">GEOMEAN(I3,I9)</f>
        <v>1.1447241605986822</v>
      </c>
      <c r="K15" s="26">
        <f t="shared" ref="K15:K16" si="7">I15/GEOMEAN($J$14:$J$16)</f>
        <v>1.0497166836230685</v>
      </c>
      <c r="L15" s="1">
        <f t="shared" ref="L15:L25" si="8">LOG(K15,2)</f>
        <v>7.0000000000001644E-2</v>
      </c>
      <c r="M15" s="1"/>
      <c r="N15" s="1"/>
      <c r="O15" s="17"/>
      <c r="P15" s="1"/>
      <c r="Q15" s="1"/>
      <c r="R15" s="1"/>
      <c r="S15" s="15"/>
      <c r="T15" s="15"/>
      <c r="U15" s="1"/>
      <c r="V15" s="1"/>
      <c r="W15" s="16"/>
      <c r="X15" s="16"/>
      <c r="Y15" s="1">
        <f>F15-Y$9</f>
        <v>2.5849999999999973</v>
      </c>
      <c r="Z15">
        <v>1</v>
      </c>
    </row>
    <row r="16" spans="1:27" x14ac:dyDescent="0.2">
      <c r="A16" t="s">
        <v>39</v>
      </c>
      <c r="B16" t="s">
        <v>1</v>
      </c>
      <c r="C16" s="33">
        <v>30.97</v>
      </c>
      <c r="D16" s="33">
        <v>30.97</v>
      </c>
      <c r="E16" s="33">
        <v>30.97</v>
      </c>
      <c r="F16" s="33">
        <f t="shared" si="0"/>
        <v>30.97</v>
      </c>
      <c r="H16">
        <f t="shared" si="5"/>
        <v>0.11000000000000298</v>
      </c>
      <c r="I16" s="26">
        <f t="shared" si="2"/>
        <v>1.0792282365044295</v>
      </c>
      <c r="J16" s="26">
        <f t="shared" si="6"/>
        <v>1.0388591032976642</v>
      </c>
      <c r="K16" s="26">
        <f t="shared" si="7"/>
        <v>1.0792282365044303</v>
      </c>
      <c r="L16" s="1">
        <f t="shared" si="8"/>
        <v>0.11000000000000421</v>
      </c>
      <c r="M16" s="1"/>
      <c r="N16" s="1"/>
      <c r="O16" s="1"/>
      <c r="P16" s="1"/>
      <c r="Q16" s="1"/>
      <c r="R16" s="1"/>
      <c r="S16" s="15"/>
      <c r="T16" s="15"/>
      <c r="U16" s="1"/>
      <c r="V16" s="1"/>
      <c r="W16" s="16"/>
      <c r="X16" s="16"/>
      <c r="Y16" s="1">
        <f>F16-Y$10</f>
        <v>2.4050000000000011</v>
      </c>
      <c r="Z16">
        <v>1</v>
      </c>
    </row>
    <row r="17" spans="1:27" x14ac:dyDescent="0.2">
      <c r="A17" t="s">
        <v>39</v>
      </c>
      <c r="B17" t="s">
        <v>2</v>
      </c>
      <c r="C17" s="33">
        <v>32.65</v>
      </c>
      <c r="D17" s="33">
        <v>32.65</v>
      </c>
      <c r="E17" s="33">
        <v>32.65</v>
      </c>
      <c r="F17" s="33">
        <f t="shared" si="0"/>
        <v>32.65</v>
      </c>
      <c r="G17">
        <f>AVERAGE(F17:F19)</f>
        <v>32.360000000000007</v>
      </c>
      <c r="H17">
        <f t="shared" si="5"/>
        <v>-1.5699999999999967</v>
      </c>
      <c r="I17" s="26">
        <f t="shared" si="2"/>
        <v>0.33680839421642333</v>
      </c>
      <c r="J17" s="27">
        <f t="shared" si="6"/>
        <v>1.2311444133449154</v>
      </c>
      <c r="K17" s="27">
        <f>I17/GEOMEAN($J$17:$J$19)</f>
        <v>0.35519093478224495</v>
      </c>
      <c r="L17" s="1">
        <f t="shared" si="8"/>
        <v>-1.4933333333333294</v>
      </c>
      <c r="M17" s="4">
        <f>GEOMEAN(K17:K19)</f>
        <v>0.43427074313586911</v>
      </c>
      <c r="N17" s="1">
        <f>LOG(M17,2)</f>
        <v>-1.2033333333333303</v>
      </c>
      <c r="O17" s="1">
        <f>_xlfn.STDEV.S(L17:L19)</f>
        <v>0.31192947920964259</v>
      </c>
      <c r="P17" s="1">
        <f>O17/SQRT(COUNT(L17:L19))</f>
        <v>0.18009256878986693</v>
      </c>
      <c r="Q17" s="1">
        <f>(1+AA17)^(N17-1*P17)</f>
        <v>0.38330749091480809</v>
      </c>
      <c r="R17" s="1">
        <f>(1+AA17)^(N17+1*P17)</f>
        <v>0.49200989496366299</v>
      </c>
      <c r="S17" s="15">
        <f t="shared" ref="S17" si="9">ABS($M17-2^($N17-$P17))</f>
        <v>5.0963252221061017E-2</v>
      </c>
      <c r="T17" s="15">
        <f t="shared" ref="T17" si="10">ABS($M17-2^($N17+$P17))</f>
        <v>5.7739151827793878E-2</v>
      </c>
      <c r="U17" s="1">
        <f>(1+1)^($N17-$V$2*$P17)</f>
        <v>0.25380473401248943</v>
      </c>
      <c r="V17" s="1">
        <f>(1+1)^($N17+$V$2*$P17)</f>
        <v>0.74305579475322003</v>
      </c>
      <c r="W17" s="16">
        <f>ABS($M17-U17)</f>
        <v>0.18046600912337968</v>
      </c>
      <c r="X17" s="16">
        <f>ABS($M17-V17)</f>
        <v>0.30878505161735093</v>
      </c>
      <c r="Y17" s="1">
        <f>F17-Y$11</f>
        <v>4.3299999999999983</v>
      </c>
      <c r="Z17">
        <v>1</v>
      </c>
      <c r="AA17">
        <f>AVERAGE(Z17:Z19)</f>
        <v>1</v>
      </c>
    </row>
    <row r="18" spans="1:27" x14ac:dyDescent="0.2">
      <c r="A18" t="s">
        <v>39</v>
      </c>
      <c r="B18" t="s">
        <v>2</v>
      </c>
      <c r="C18" s="33">
        <v>32.03</v>
      </c>
      <c r="D18" s="33">
        <v>32.03</v>
      </c>
      <c r="E18" s="33">
        <v>32.03</v>
      </c>
      <c r="F18" s="33">
        <f t="shared" si="0"/>
        <v>32.03</v>
      </c>
      <c r="H18">
        <f t="shared" si="5"/>
        <v>-0.94999999999999929</v>
      </c>
      <c r="I18" s="26">
        <f t="shared" si="2"/>
        <v>0.51763246192068901</v>
      </c>
      <c r="J18" s="27">
        <f t="shared" si="6"/>
        <v>0.6973718331752029</v>
      </c>
      <c r="K18" s="27">
        <f t="shared" ref="K18:K19" si="11">I18/GEOMEAN($J$17:$J$19)</f>
        <v>0.54588413228532029</v>
      </c>
      <c r="L18" s="1">
        <f t="shared" si="8"/>
        <v>-0.87333333333333185</v>
      </c>
      <c r="M18" s="1"/>
      <c r="N18" s="1"/>
      <c r="O18" s="1"/>
      <c r="P18" s="1"/>
      <c r="Q18" s="1"/>
      <c r="R18" s="1"/>
      <c r="Y18" s="1">
        <f>F18-Y$12</f>
        <v>2.8900000000000006</v>
      </c>
      <c r="Z18">
        <v>1</v>
      </c>
    </row>
    <row r="19" spans="1:27" x14ac:dyDescent="0.2">
      <c r="A19" t="s">
        <v>39</v>
      </c>
      <c r="B19" t="s">
        <v>2</v>
      </c>
      <c r="C19" s="33">
        <v>32.4</v>
      </c>
      <c r="D19" s="33">
        <v>32.4</v>
      </c>
      <c r="E19" s="33">
        <v>32.4</v>
      </c>
      <c r="F19" s="33">
        <f t="shared" si="0"/>
        <v>32.4</v>
      </c>
      <c r="H19">
        <f t="shared" si="5"/>
        <v>-1.3199999999999967</v>
      </c>
      <c r="I19" s="26">
        <f t="shared" si="2"/>
        <v>0.400534938794812</v>
      </c>
      <c r="J19" s="27">
        <f t="shared" si="6"/>
        <v>0.99309249543703482</v>
      </c>
      <c r="K19" s="27">
        <f t="shared" si="11"/>
        <v>0.42239558682751321</v>
      </c>
      <c r="L19" s="1">
        <f t="shared" si="8"/>
        <v>-1.2433333333333292</v>
      </c>
      <c r="M19" s="1"/>
      <c r="N19" s="1"/>
      <c r="O19" s="1"/>
      <c r="P19" s="1"/>
      <c r="Q19" s="1"/>
      <c r="R19" s="1"/>
      <c r="Y19" s="1">
        <f>F19-Y$13</f>
        <v>3.769999999999996</v>
      </c>
      <c r="Z19">
        <v>1</v>
      </c>
    </row>
    <row r="20" spans="1:27" x14ac:dyDescent="0.2">
      <c r="A20" s="18" t="s">
        <v>42</v>
      </c>
      <c r="B20" s="18" t="s">
        <v>1</v>
      </c>
      <c r="C20" s="23">
        <v>25</v>
      </c>
      <c r="D20" s="23">
        <v>25</v>
      </c>
      <c r="E20" s="23">
        <v>25</v>
      </c>
      <c r="F20" s="23">
        <f t="shared" si="0"/>
        <v>25</v>
      </c>
      <c r="G20" s="18">
        <f>AVERAGE(F20:F22)</f>
        <v>24</v>
      </c>
      <c r="H20" s="23">
        <f>$G$20-F20</f>
        <v>-1</v>
      </c>
      <c r="I20" s="26">
        <f t="shared" si="2"/>
        <v>0.5</v>
      </c>
      <c r="J20" s="23"/>
      <c r="K20" s="23">
        <f>I20/GEOMEAN($J$14:$J$16)</f>
        <v>0.50000000000000044</v>
      </c>
      <c r="L20" s="23">
        <f t="shared" si="8"/>
        <v>-0.99999999999999867</v>
      </c>
      <c r="M20" s="4">
        <f>GEOMEAN(K20:K22)</f>
        <v>1.0000000000000009</v>
      </c>
      <c r="N20" s="1">
        <f>LOG(M20,2)</f>
        <v>1.2813706015259665E-15</v>
      </c>
      <c r="O20" s="1">
        <f>_xlfn.STDEV.S(L20:L22)</f>
        <v>1</v>
      </c>
      <c r="P20" s="1">
        <f>O20/SQRT(COUNT(L20:L22))</f>
        <v>0.57735026918962584</v>
      </c>
      <c r="Q20" s="1">
        <f>(1+AA20)^(N20-1*P20)</f>
        <v>0.67019356101380156</v>
      </c>
      <c r="R20" s="1">
        <f>(1+AA20)^(N20+1*P20)</f>
        <v>1.4921062483609993</v>
      </c>
      <c r="S20" s="15">
        <f>ABS($M20-2^($N20-$P20))</f>
        <v>0.32980643898619932</v>
      </c>
      <c r="T20" s="15">
        <f>ABS($M20-2^($N20+$P20))</f>
        <v>0.49210624836099837</v>
      </c>
      <c r="Y20" s="1">
        <f>F20-Y$8</f>
        <v>-3.8699999999999974</v>
      </c>
      <c r="Z20">
        <v>1</v>
      </c>
      <c r="AA20">
        <f>AVERAGE(Z20:Z22)</f>
        <v>1</v>
      </c>
    </row>
    <row r="21" spans="1:27" x14ac:dyDescent="0.2">
      <c r="A21" s="18" t="s">
        <v>42</v>
      </c>
      <c r="B21" s="18" t="s">
        <v>1</v>
      </c>
      <c r="C21" s="23">
        <v>24</v>
      </c>
      <c r="D21" s="23">
        <v>24</v>
      </c>
      <c r="E21" s="23">
        <v>24</v>
      </c>
      <c r="F21" s="23">
        <f t="shared" si="0"/>
        <v>24</v>
      </c>
      <c r="G21" s="18"/>
      <c r="H21" s="23">
        <f t="shared" ref="H21:H25" si="12">$G$20-F21</f>
        <v>0</v>
      </c>
      <c r="I21" s="26">
        <f t="shared" si="2"/>
        <v>1</v>
      </c>
      <c r="J21" s="23"/>
      <c r="K21" s="23">
        <f t="shared" ref="K21:K22" si="13">I21/GEOMEAN($J$14:$J$16)</f>
        <v>1.0000000000000009</v>
      </c>
      <c r="L21" s="23">
        <f t="shared" si="8"/>
        <v>1.2813706015259665E-15</v>
      </c>
      <c r="N21" s="1"/>
      <c r="O21" s="17"/>
      <c r="P21" s="1"/>
      <c r="Q21" s="1"/>
      <c r="R21" s="1"/>
      <c r="S21" s="15"/>
      <c r="T21" s="15"/>
      <c r="Y21" s="1">
        <f>F21-Y$9</f>
        <v>-4.4250000000000043</v>
      </c>
      <c r="Z21">
        <v>1</v>
      </c>
    </row>
    <row r="22" spans="1:27" x14ac:dyDescent="0.2">
      <c r="A22" s="18" t="s">
        <v>42</v>
      </c>
      <c r="B22" s="18" t="s">
        <v>1</v>
      </c>
      <c r="C22" s="23">
        <v>23</v>
      </c>
      <c r="D22" s="23">
        <v>23</v>
      </c>
      <c r="E22" s="23">
        <v>23</v>
      </c>
      <c r="F22" s="23">
        <f t="shared" si="0"/>
        <v>23</v>
      </c>
      <c r="G22" s="18"/>
      <c r="H22" s="23">
        <f t="shared" si="12"/>
        <v>1</v>
      </c>
      <c r="I22" s="26">
        <f t="shared" si="2"/>
        <v>2</v>
      </c>
      <c r="J22" s="23"/>
      <c r="K22" s="23">
        <f t="shared" si="13"/>
        <v>2.0000000000000018</v>
      </c>
      <c r="L22" s="23">
        <f t="shared" si="8"/>
        <v>1.0000000000000013</v>
      </c>
      <c r="N22" s="1"/>
      <c r="O22" s="1"/>
      <c r="P22" s="1"/>
      <c r="Q22" s="1"/>
      <c r="R22" s="1"/>
      <c r="S22" s="15"/>
      <c r="T22" s="15"/>
      <c r="Y22" s="1">
        <f>F22-Y$10</f>
        <v>-5.5649999999999977</v>
      </c>
      <c r="Z22">
        <v>1</v>
      </c>
    </row>
    <row r="23" spans="1:27" x14ac:dyDescent="0.2">
      <c r="A23" s="18" t="s">
        <v>42</v>
      </c>
      <c r="B23" s="18" t="s">
        <v>2</v>
      </c>
      <c r="C23" s="23">
        <v>29</v>
      </c>
      <c r="D23" s="23">
        <v>29</v>
      </c>
      <c r="E23" s="23">
        <v>29</v>
      </c>
      <c r="F23" s="23">
        <f t="shared" si="0"/>
        <v>29</v>
      </c>
      <c r="G23" s="18">
        <f>AVERAGE(F23:F25)</f>
        <v>29</v>
      </c>
      <c r="H23" s="23">
        <f t="shared" si="12"/>
        <v>-5</v>
      </c>
      <c r="I23" s="26">
        <f t="shared" si="2"/>
        <v>3.125E-2</v>
      </c>
      <c r="J23" s="23"/>
      <c r="K23" s="23">
        <f>I23/GEOMEAN($J$17:$J$19)</f>
        <v>3.2955582172375424E-2</v>
      </c>
      <c r="L23" s="23">
        <f t="shared" si="8"/>
        <v>-4.9233333333333329</v>
      </c>
      <c r="M23" s="4">
        <f>GEOMEAN(K23:K25)</f>
        <v>3.2955582172375424E-2</v>
      </c>
      <c r="N23" s="1">
        <f>LOG(M23,2)</f>
        <v>-4.9233333333333329</v>
      </c>
      <c r="O23" s="1">
        <f>_xlfn.STDEV.S(L23:L25)</f>
        <v>0</v>
      </c>
      <c r="P23" s="1">
        <f>O23/SQRT(COUNT(L23:L25))</f>
        <v>0</v>
      </c>
      <c r="Q23" s="1">
        <f>(1+AA23)^(N23-1*P23)</f>
        <v>3.2955582172375424E-2</v>
      </c>
      <c r="R23" s="1">
        <f>(1+AA23)^(N23+1*P23)</f>
        <v>3.2955582172375424E-2</v>
      </c>
      <c r="S23" s="15">
        <f t="shared" ref="S23" si="14">ABS($M23-2^($N23-$P23))</f>
        <v>0</v>
      </c>
      <c r="T23" s="15">
        <f t="shared" ref="T23" si="15">ABS($M23-2^($N23+$P23))</f>
        <v>0</v>
      </c>
      <c r="Y23" s="1">
        <f>F23-Y$11</f>
        <v>0.67999999999999972</v>
      </c>
      <c r="Z23">
        <v>1</v>
      </c>
      <c r="AA23">
        <f>AVERAGE(Z23:Z25)</f>
        <v>1</v>
      </c>
    </row>
    <row r="24" spans="1:27" x14ac:dyDescent="0.2">
      <c r="A24" s="18" t="s">
        <v>42</v>
      </c>
      <c r="B24" s="18" t="s">
        <v>2</v>
      </c>
      <c r="C24" s="23">
        <v>29</v>
      </c>
      <c r="D24" s="23">
        <v>29</v>
      </c>
      <c r="E24" s="23">
        <v>29</v>
      </c>
      <c r="F24" s="23">
        <f t="shared" si="0"/>
        <v>29</v>
      </c>
      <c r="G24" s="23"/>
      <c r="H24" s="23">
        <f t="shared" si="12"/>
        <v>-5</v>
      </c>
      <c r="I24" s="26">
        <f t="shared" si="2"/>
        <v>3.125E-2</v>
      </c>
      <c r="J24" s="23"/>
      <c r="K24" s="23">
        <f t="shared" ref="K24:K25" si="16">I24/GEOMEAN($J$17:$J$19)</f>
        <v>3.2955582172375424E-2</v>
      </c>
      <c r="L24" s="23">
        <f t="shared" si="8"/>
        <v>-4.9233333333333329</v>
      </c>
      <c r="N24" s="1"/>
      <c r="Y24" s="1">
        <f>F24-Y$12</f>
        <v>-0.14000000000000057</v>
      </c>
      <c r="Z24">
        <v>1</v>
      </c>
    </row>
    <row r="25" spans="1:27" x14ac:dyDescent="0.2">
      <c r="A25" s="18" t="s">
        <v>42</v>
      </c>
      <c r="B25" s="18" t="s">
        <v>2</v>
      </c>
      <c r="C25" s="23">
        <v>29</v>
      </c>
      <c r="D25" s="23">
        <v>29</v>
      </c>
      <c r="E25" s="23">
        <v>29</v>
      </c>
      <c r="F25" s="23">
        <f t="shared" si="0"/>
        <v>29</v>
      </c>
      <c r="G25" s="23"/>
      <c r="H25" s="23">
        <f t="shared" si="12"/>
        <v>-5</v>
      </c>
      <c r="I25" s="26">
        <f t="shared" si="2"/>
        <v>3.125E-2</v>
      </c>
      <c r="J25" s="18"/>
      <c r="K25" s="23">
        <f t="shared" si="16"/>
        <v>3.2955582172375424E-2</v>
      </c>
      <c r="L25" s="23">
        <f t="shared" si="8"/>
        <v>-4.9233333333333329</v>
      </c>
      <c r="N25" s="1"/>
      <c r="Y25" s="1">
        <f>F25-Y$13</f>
        <v>0.36999999999999744</v>
      </c>
      <c r="Z25">
        <v>1</v>
      </c>
    </row>
    <row r="26" spans="1:27" s="19" customFormat="1" x14ac:dyDescent="0.2">
      <c r="G26" s="20"/>
      <c r="H26" s="20"/>
      <c r="I26" s="20"/>
    </row>
    <row r="27" spans="1:27" s="21" customFormat="1" x14ac:dyDescent="0.2">
      <c r="G27" s="22"/>
      <c r="H27" s="22"/>
      <c r="I27" s="22"/>
    </row>
    <row r="28" spans="1:27" s="21" customFormat="1" x14ac:dyDescent="0.2">
      <c r="A28" s="40" t="s">
        <v>60</v>
      </c>
      <c r="B28" s="40"/>
      <c r="C28" s="35" t="s">
        <v>59</v>
      </c>
      <c r="D28" s="35" t="str">
        <f>IF(C28="YES",AVERAGE((AVERAGE(C2:C4)-AVERAGE(C8:C10)),(AVERAGE(C5:C7)-AVERAGE(C11:C13))),"no calibrator" )</f>
        <v>no calibrator</v>
      </c>
      <c r="E28" s="41"/>
      <c r="F28" s="41"/>
      <c r="G28" s="22"/>
      <c r="H28" s="22"/>
      <c r="I28" s="22"/>
    </row>
    <row r="29" spans="1:27" s="21" customFormat="1" x14ac:dyDescent="0.2">
      <c r="G29" s="22"/>
      <c r="H29" s="22"/>
      <c r="I29" s="22"/>
    </row>
    <row r="30" spans="1:27" ht="16.5" customHeight="1" x14ac:dyDescent="0.2">
      <c r="A30" t="str">
        <f t="shared" ref="A30:A35" si="17">IF($C$28="YES",A8,"")</f>
        <v/>
      </c>
      <c r="C30" t="str">
        <f>IF($C$28="YES",B30+$D$28,"")</f>
        <v/>
      </c>
      <c r="E30" s="42" t="s">
        <v>8</v>
      </c>
      <c r="F30" s="42"/>
      <c r="G30" s="12" t="s">
        <v>39</v>
      </c>
      <c r="H30" s="18" t="s">
        <v>42</v>
      </c>
      <c r="N30" s="12"/>
      <c r="O30" s="12"/>
    </row>
    <row r="31" spans="1:27" x14ac:dyDescent="0.2">
      <c r="A31" t="str">
        <f t="shared" si="17"/>
        <v/>
      </c>
      <c r="C31" t="str">
        <f t="shared" ref="C31:C35" si="18">IF($C$28="YES",B31+$D$28,"")</f>
        <v/>
      </c>
      <c r="F31" t="s">
        <v>22</v>
      </c>
      <c r="G31" s="4">
        <f>M14</f>
        <v>1.0000000000000018</v>
      </c>
      <c r="H31" s="23">
        <f>M20</f>
        <v>1.0000000000000009</v>
      </c>
      <c r="K31" s="30"/>
    </row>
    <row r="32" spans="1:27" x14ac:dyDescent="0.2">
      <c r="A32" t="str">
        <f t="shared" si="17"/>
        <v/>
      </c>
      <c r="C32" t="str">
        <f t="shared" si="18"/>
        <v/>
      </c>
      <c r="F32" t="s">
        <v>41</v>
      </c>
      <c r="G32" s="4">
        <f>M17</f>
        <v>0.43427074313586911</v>
      </c>
      <c r="H32" s="23">
        <f>M23</f>
        <v>3.2955582172375424E-2</v>
      </c>
    </row>
    <row r="33" spans="1:16" x14ac:dyDescent="0.2">
      <c r="A33" t="str">
        <f t="shared" si="17"/>
        <v/>
      </c>
      <c r="C33" t="str">
        <f t="shared" si="18"/>
        <v/>
      </c>
      <c r="P33" s="12"/>
    </row>
    <row r="34" spans="1:16" x14ac:dyDescent="0.2">
      <c r="A34" t="str">
        <f t="shared" si="17"/>
        <v/>
      </c>
      <c r="C34" t="str">
        <f t="shared" si="18"/>
        <v/>
      </c>
    </row>
    <row r="35" spans="1:16" x14ac:dyDescent="0.2">
      <c r="A35" t="str">
        <f t="shared" si="17"/>
        <v/>
      </c>
      <c r="C35" t="str">
        <f t="shared" si="18"/>
        <v/>
      </c>
      <c r="E35" t="s">
        <v>22</v>
      </c>
      <c r="F35" s="12" t="str">
        <f>G30</f>
        <v>target-1</v>
      </c>
      <c r="G35" s="25" t="str">
        <f>H30</f>
        <v>target-2</v>
      </c>
    </row>
    <row r="36" spans="1:16" x14ac:dyDescent="0.2">
      <c r="E36" t="s">
        <v>5</v>
      </c>
      <c r="F36" s="15">
        <f>S14</f>
        <v>6.0957549774993458E-2</v>
      </c>
      <c r="G36" s="23">
        <f>S20</f>
        <v>0.32980643898619932</v>
      </c>
    </row>
    <row r="37" spans="1:16" x14ac:dyDescent="0.2">
      <c r="E37" t="s">
        <v>6</v>
      </c>
      <c r="F37" s="15">
        <f>T14</f>
        <v>6.4914583744736243E-2</v>
      </c>
      <c r="G37" s="23">
        <f>T20</f>
        <v>0.49210624836099837</v>
      </c>
    </row>
    <row r="39" spans="1:16" x14ac:dyDescent="0.2">
      <c r="E39" t="s">
        <v>2</v>
      </c>
      <c r="G39" s="18"/>
    </row>
    <row r="40" spans="1:16" x14ac:dyDescent="0.2">
      <c r="E40" t="s">
        <v>5</v>
      </c>
      <c r="F40" s="15">
        <f>S17</f>
        <v>5.0963252221061017E-2</v>
      </c>
      <c r="G40" s="23">
        <f>S23</f>
        <v>0</v>
      </c>
    </row>
    <row r="41" spans="1:16" x14ac:dyDescent="0.2">
      <c r="E41" t="s">
        <v>6</v>
      </c>
      <c r="F41" s="15">
        <f>T17</f>
        <v>5.7739151827793878E-2</v>
      </c>
      <c r="G41" s="23">
        <f>T23</f>
        <v>0</v>
      </c>
    </row>
    <row r="69" spans="1:5" x14ac:dyDescent="0.2">
      <c r="A69" s="43" t="s">
        <v>47</v>
      </c>
      <c r="B69" s="44"/>
      <c r="C69" s="44"/>
      <c r="D69" s="44"/>
      <c r="E69" s="45"/>
    </row>
    <row r="70" spans="1:5" x14ac:dyDescent="0.2">
      <c r="A70" s="46"/>
      <c r="B70" s="47"/>
      <c r="C70" s="47"/>
      <c r="D70" s="47"/>
      <c r="E70" s="48"/>
    </row>
    <row r="71" spans="1:5" x14ac:dyDescent="0.2">
      <c r="A71" s="46"/>
      <c r="B71" s="47"/>
      <c r="C71" s="47"/>
      <c r="D71" s="47"/>
      <c r="E71" s="48"/>
    </row>
    <row r="72" spans="1:5" x14ac:dyDescent="0.2">
      <c r="A72" s="49"/>
      <c r="B72" s="50"/>
      <c r="C72" s="50"/>
      <c r="D72" s="50"/>
      <c r="E72" s="51"/>
    </row>
  </sheetData>
  <mergeCells count="4">
    <mergeCell ref="A28:B28"/>
    <mergeCell ref="E28:F28"/>
    <mergeCell ref="E30:F30"/>
    <mergeCell ref="A69:E72"/>
  </mergeCells>
  <dataValidations count="1">
    <dataValidation type="list" allowBlank="1" showInputMessage="1" showErrorMessage="1" errorTitle="inter-run calilbrator" error="please selecte YES or NO" promptTitle="inter-run calibrator" prompt="Chose if you want to know the inter-run calibrator value. This values will be added to the reference Cq of the second run" sqref="C28" xr:uid="{B6B2E14B-23A6-4BAB-A312-0C18BD331D2C}">
      <formula1>"YES, 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A64B2-0BF8-4070-9B1D-006B1DAEC7AB}">
  <dimension ref="A1:Y72"/>
  <sheetViews>
    <sheetView zoomScale="85" zoomScaleNormal="85" workbookViewId="0">
      <selection activeCell="B30" sqref="B30"/>
    </sheetView>
  </sheetViews>
  <sheetFormatPr defaultRowHeight="14.25" x14ac:dyDescent="0.2"/>
  <cols>
    <col min="1" max="1" width="10.875" bestFit="1" customWidth="1"/>
    <col min="2" max="2" width="17.5" bestFit="1" customWidth="1"/>
    <col min="3" max="3" width="15.25" bestFit="1" customWidth="1"/>
    <col min="4" max="4" width="15.125" customWidth="1"/>
    <col min="5" max="5" width="13.75" bestFit="1" customWidth="1"/>
    <col min="6" max="6" width="9.5" bestFit="1" customWidth="1"/>
    <col min="7" max="7" width="16.375" bestFit="1" customWidth="1"/>
    <col min="8" max="8" width="16" bestFit="1" customWidth="1"/>
    <col min="9" max="9" width="13.875" bestFit="1" customWidth="1"/>
    <col min="10" max="10" width="11.875" bestFit="1" customWidth="1"/>
    <col min="11" max="11" width="16.625" bestFit="1" customWidth="1"/>
    <col min="12" max="12" width="13.625" bestFit="1" customWidth="1"/>
    <col min="13" max="13" width="13.875" bestFit="1" customWidth="1"/>
    <col min="14" max="14" width="12.125" bestFit="1" customWidth="1"/>
    <col min="15" max="15" width="7.875" customWidth="1"/>
    <col min="16" max="16" width="7.5" bestFit="1" customWidth="1"/>
    <col min="17" max="17" width="7.875" bestFit="1" customWidth="1"/>
    <col min="18" max="18" width="8.125" bestFit="1" customWidth="1"/>
    <col min="20" max="20" width="9.25" bestFit="1" customWidth="1"/>
    <col min="21" max="21" width="9.5" customWidth="1"/>
    <col min="22" max="24" width="9" customWidth="1"/>
  </cols>
  <sheetData>
    <row r="1" spans="1:25" ht="60" customHeight="1" x14ac:dyDescent="0.2">
      <c r="A1" s="3" t="s">
        <v>7</v>
      </c>
      <c r="B1" s="3" t="s">
        <v>8</v>
      </c>
      <c r="C1" s="32" t="s">
        <v>56</v>
      </c>
      <c r="D1" s="32" t="s">
        <v>57</v>
      </c>
      <c r="E1" s="32" t="s">
        <v>58</v>
      </c>
      <c r="F1" s="32" t="s">
        <v>9</v>
      </c>
      <c r="G1" s="3" t="s">
        <v>10</v>
      </c>
      <c r="H1" s="3" t="s">
        <v>11</v>
      </c>
      <c r="I1" s="3" t="s">
        <v>12</v>
      </c>
      <c r="J1" s="3" t="s">
        <v>13</v>
      </c>
      <c r="K1" s="3" t="s">
        <v>14</v>
      </c>
      <c r="L1" s="3" t="s">
        <v>15</v>
      </c>
      <c r="M1" s="3" t="s">
        <v>16</v>
      </c>
      <c r="N1" s="3" t="s">
        <v>17</v>
      </c>
      <c r="O1" s="3" t="s">
        <v>21</v>
      </c>
      <c r="P1" s="3" t="s">
        <v>18</v>
      </c>
      <c r="Q1" s="3" t="s">
        <v>45</v>
      </c>
      <c r="R1" s="3" t="s">
        <v>46</v>
      </c>
      <c r="S1" s="13" t="s">
        <v>62</v>
      </c>
      <c r="T1" s="13" t="s">
        <v>63</v>
      </c>
      <c r="U1" s="14" t="s">
        <v>19</v>
      </c>
      <c r="V1" s="14" t="s">
        <v>20</v>
      </c>
      <c r="W1" s="13" t="s">
        <v>43</v>
      </c>
      <c r="X1" s="13" t="s">
        <v>44</v>
      </c>
      <c r="Y1" s="13" t="s">
        <v>55</v>
      </c>
    </row>
    <row r="2" spans="1:25" x14ac:dyDescent="0.2">
      <c r="A2" t="s">
        <v>37</v>
      </c>
      <c r="B2" t="s">
        <v>1</v>
      </c>
      <c r="C2" s="33">
        <v>28.74</v>
      </c>
      <c r="D2" s="33">
        <v>28.74</v>
      </c>
      <c r="E2" s="33">
        <v>28.74</v>
      </c>
      <c r="F2" s="33">
        <f>AVERAGE(C2:E2)</f>
        <v>28.74</v>
      </c>
      <c r="G2">
        <f>AVERAGE(F2:F4)</f>
        <v>28.74</v>
      </c>
      <c r="H2">
        <f>$G$2-F2</f>
        <v>0</v>
      </c>
      <c r="I2" s="26">
        <f>(1+1)^H2</f>
        <v>1</v>
      </c>
      <c r="J2" s="1"/>
      <c r="K2" s="1"/>
      <c r="L2" s="1"/>
      <c r="M2" s="1"/>
      <c r="N2" s="1"/>
      <c r="O2" s="1"/>
      <c r="P2" s="1"/>
      <c r="Q2" s="1"/>
      <c r="R2" s="1"/>
      <c r="U2" t="s">
        <v>40</v>
      </c>
      <c r="V2">
        <f>_xlfn.T.INV.2T(0.05,COUNT(L14:L16)-1)</f>
        <v>4.3026527297494637</v>
      </c>
    </row>
    <row r="3" spans="1:25" ht="14.25" customHeight="1" x14ac:dyDescent="0.2">
      <c r="A3" t="s">
        <v>37</v>
      </c>
      <c r="B3" t="s">
        <v>1</v>
      </c>
      <c r="C3" s="33">
        <v>28.85</v>
      </c>
      <c r="D3" s="33">
        <v>28.85</v>
      </c>
      <c r="E3" s="33">
        <v>28.85</v>
      </c>
      <c r="F3" s="33">
        <f t="shared" ref="F3:F25" si="0">AVERAGE(C3:E3)</f>
        <v>28.850000000000005</v>
      </c>
      <c r="H3">
        <f t="shared" ref="H3:H7" si="1">$G$2-F3</f>
        <v>-0.11000000000000654</v>
      </c>
      <c r="I3" s="26">
        <f t="shared" ref="I3:I25" si="2">(1+1)^H3</f>
        <v>0.92658806189036669</v>
      </c>
      <c r="J3" s="1"/>
      <c r="K3" s="1"/>
      <c r="L3" s="1"/>
      <c r="M3" s="1"/>
      <c r="N3" s="1"/>
      <c r="O3" s="1"/>
      <c r="P3" s="1"/>
      <c r="Q3" s="1"/>
      <c r="R3" s="1"/>
    </row>
    <row r="4" spans="1:25" x14ac:dyDescent="0.2">
      <c r="A4" t="s">
        <v>37</v>
      </c>
      <c r="B4" t="s">
        <v>1</v>
      </c>
      <c r="C4" s="33">
        <v>28.63</v>
      </c>
      <c r="D4" s="33">
        <v>28.63</v>
      </c>
      <c r="E4" s="33">
        <v>28.63</v>
      </c>
      <c r="F4" s="33">
        <f t="shared" si="0"/>
        <v>28.63</v>
      </c>
      <c r="H4">
        <f t="shared" si="1"/>
        <v>0.10999999999999943</v>
      </c>
      <c r="I4" s="26">
        <f t="shared" si="2"/>
        <v>1.0792282365044268</v>
      </c>
      <c r="J4" s="1"/>
      <c r="K4" s="1"/>
      <c r="L4" s="1"/>
      <c r="M4" s="1"/>
      <c r="N4" s="1"/>
      <c r="O4" s="1"/>
      <c r="P4" s="1"/>
      <c r="Q4" s="1"/>
      <c r="R4" s="1"/>
    </row>
    <row r="5" spans="1:25" x14ac:dyDescent="0.2">
      <c r="A5" t="s">
        <v>37</v>
      </c>
      <c r="B5" t="s">
        <v>2</v>
      </c>
      <c r="C5" s="33">
        <v>28.84</v>
      </c>
      <c r="D5" s="33">
        <v>28.84</v>
      </c>
      <c r="E5" s="33">
        <v>28.84</v>
      </c>
      <c r="F5" s="33">
        <f t="shared" si="0"/>
        <v>28.84</v>
      </c>
      <c r="H5">
        <f t="shared" si="1"/>
        <v>-0.10000000000000142</v>
      </c>
      <c r="I5" s="26">
        <f t="shared" si="2"/>
        <v>0.93303299153680652</v>
      </c>
      <c r="J5" s="1"/>
      <c r="K5" s="1"/>
      <c r="L5" s="1"/>
      <c r="M5" s="1"/>
      <c r="N5" s="1"/>
      <c r="O5" s="1"/>
      <c r="P5" s="1"/>
      <c r="Q5" s="1"/>
      <c r="R5" s="1"/>
    </row>
    <row r="6" spans="1:25" x14ac:dyDescent="0.2">
      <c r="A6" t="s">
        <v>37</v>
      </c>
      <c r="B6" t="s">
        <v>2</v>
      </c>
      <c r="C6" s="33">
        <v>29.08</v>
      </c>
      <c r="D6" s="33">
        <v>29.08</v>
      </c>
      <c r="E6" s="33">
        <v>29.08</v>
      </c>
      <c r="F6" s="33">
        <f t="shared" si="0"/>
        <v>29.08</v>
      </c>
      <c r="H6">
        <f t="shared" si="1"/>
        <v>-0.33999999999999986</v>
      </c>
      <c r="I6" s="26">
        <f t="shared" si="2"/>
        <v>0.79004131186337734</v>
      </c>
      <c r="J6" s="1"/>
      <c r="K6" s="1"/>
      <c r="L6" s="1"/>
      <c r="M6" s="1"/>
      <c r="N6" s="1"/>
      <c r="O6" s="1"/>
      <c r="P6" s="1"/>
      <c r="Q6" s="1"/>
      <c r="R6" s="1"/>
    </row>
    <row r="7" spans="1:25" x14ac:dyDescent="0.2">
      <c r="A7" t="s">
        <v>37</v>
      </c>
      <c r="B7" t="s">
        <v>2</v>
      </c>
      <c r="C7" s="33">
        <v>28.76</v>
      </c>
      <c r="D7" s="33">
        <v>28.76</v>
      </c>
      <c r="E7" s="33">
        <v>28.76</v>
      </c>
      <c r="F7" s="33">
        <f t="shared" si="0"/>
        <v>28.76</v>
      </c>
      <c r="H7">
        <f t="shared" si="1"/>
        <v>-2.0000000000003126E-2</v>
      </c>
      <c r="I7" s="26">
        <f t="shared" si="2"/>
        <v>0.98623270449335709</v>
      </c>
      <c r="J7" s="1"/>
      <c r="K7" s="1"/>
      <c r="L7" s="1"/>
      <c r="M7" s="1"/>
      <c r="N7" s="1"/>
      <c r="O7" s="1"/>
      <c r="P7" s="1"/>
      <c r="Q7" s="1"/>
      <c r="R7" s="1"/>
    </row>
    <row r="8" spans="1:25" x14ac:dyDescent="0.2">
      <c r="A8" t="s">
        <v>38</v>
      </c>
      <c r="B8" t="s">
        <v>1</v>
      </c>
      <c r="C8" s="33">
        <v>29</v>
      </c>
      <c r="D8" s="33">
        <v>29</v>
      </c>
      <c r="E8" s="33">
        <v>29</v>
      </c>
      <c r="F8" s="33">
        <f t="shared" si="0"/>
        <v>29</v>
      </c>
      <c r="G8">
        <f>AVERAGE(F8:F10)</f>
        <v>28.5</v>
      </c>
      <c r="H8">
        <f>$G$8-F8</f>
        <v>-0.5</v>
      </c>
      <c r="I8" s="26">
        <f t="shared" si="2"/>
        <v>0.70710678118654746</v>
      </c>
      <c r="J8" s="1"/>
      <c r="K8" s="1"/>
      <c r="L8" s="1"/>
      <c r="M8" s="1"/>
      <c r="N8" s="1"/>
      <c r="O8" s="1"/>
      <c r="P8" s="1"/>
      <c r="Q8" s="1"/>
      <c r="R8" s="1"/>
      <c r="Y8" s="39">
        <f t="shared" ref="Y8:Y13" si="3">AVERAGE(F2,F8)</f>
        <v>28.869999999999997</v>
      </c>
    </row>
    <row r="9" spans="1:25" x14ac:dyDescent="0.2">
      <c r="A9" t="s">
        <v>38</v>
      </c>
      <c r="B9" t="s">
        <v>1</v>
      </c>
      <c r="C9" s="33">
        <v>28</v>
      </c>
      <c r="D9" s="33">
        <v>28</v>
      </c>
      <c r="E9" s="33">
        <v>28</v>
      </c>
      <c r="F9" s="33">
        <f t="shared" si="0"/>
        <v>28</v>
      </c>
      <c r="H9">
        <f t="shared" ref="H9:H13" si="4">$G$8-F9</f>
        <v>0.5</v>
      </c>
      <c r="I9" s="26">
        <f t="shared" si="2"/>
        <v>1.4142135623730951</v>
      </c>
      <c r="J9" s="1"/>
      <c r="K9" s="1"/>
      <c r="L9" s="1"/>
      <c r="M9" s="1"/>
      <c r="N9" s="1"/>
      <c r="O9" s="1"/>
      <c r="P9" s="1"/>
      <c r="Q9" s="1"/>
      <c r="R9" s="1"/>
      <c r="Y9" s="39">
        <f t="shared" si="3"/>
        <v>28.425000000000004</v>
      </c>
    </row>
    <row r="10" spans="1:25" x14ac:dyDescent="0.2">
      <c r="A10" t="s">
        <v>38</v>
      </c>
      <c r="B10" t="s">
        <v>1</v>
      </c>
      <c r="C10" s="33">
        <v>28.5</v>
      </c>
      <c r="D10" s="33">
        <v>28.5</v>
      </c>
      <c r="E10" s="33">
        <v>28.5</v>
      </c>
      <c r="F10" s="33">
        <f t="shared" si="0"/>
        <v>28.5</v>
      </c>
      <c r="H10">
        <f t="shared" si="4"/>
        <v>0</v>
      </c>
      <c r="I10" s="26">
        <f t="shared" si="2"/>
        <v>1</v>
      </c>
      <c r="J10" s="1"/>
      <c r="K10" s="1"/>
      <c r="L10" s="1"/>
      <c r="M10" s="1"/>
      <c r="N10" s="1"/>
      <c r="O10" s="1"/>
      <c r="P10" s="1"/>
      <c r="Q10" s="1"/>
      <c r="R10" s="1"/>
      <c r="Y10" s="39">
        <f t="shared" si="3"/>
        <v>28.564999999999998</v>
      </c>
    </row>
    <row r="11" spans="1:25" x14ac:dyDescent="0.2">
      <c r="A11" t="s">
        <v>38</v>
      </c>
      <c r="B11" t="s">
        <v>2</v>
      </c>
      <c r="C11" s="33">
        <v>27.8</v>
      </c>
      <c r="D11" s="33">
        <v>27.8</v>
      </c>
      <c r="E11" s="33">
        <v>27.8</v>
      </c>
      <c r="F11" s="33">
        <f t="shared" si="0"/>
        <v>27.8</v>
      </c>
      <c r="H11">
        <f t="shared" si="4"/>
        <v>0.69999999999999929</v>
      </c>
      <c r="I11" s="26">
        <f t="shared" si="2"/>
        <v>1.6245047927124703</v>
      </c>
      <c r="J11" s="1"/>
      <c r="K11" s="1"/>
      <c r="L11" s="1"/>
      <c r="M11" s="1"/>
      <c r="N11" s="1"/>
      <c r="O11" s="1"/>
      <c r="P11" s="1"/>
      <c r="Q11" s="1"/>
      <c r="R11" s="1"/>
      <c r="Y11" s="39">
        <f t="shared" si="3"/>
        <v>28.32</v>
      </c>
    </row>
    <row r="12" spans="1:25" x14ac:dyDescent="0.2">
      <c r="A12" t="s">
        <v>38</v>
      </c>
      <c r="B12" t="s">
        <v>2</v>
      </c>
      <c r="C12" s="33">
        <v>29.2</v>
      </c>
      <c r="D12" s="33">
        <v>29.2</v>
      </c>
      <c r="E12" s="33">
        <v>29.2</v>
      </c>
      <c r="F12" s="33">
        <f t="shared" si="0"/>
        <v>29.2</v>
      </c>
      <c r="H12">
        <f t="shared" si="4"/>
        <v>-0.69999999999999929</v>
      </c>
      <c r="I12" s="26">
        <f t="shared" si="2"/>
        <v>0.61557220667245838</v>
      </c>
      <c r="J12" s="1"/>
      <c r="K12" s="1"/>
      <c r="L12" s="1"/>
      <c r="M12" s="1"/>
      <c r="N12" s="1"/>
      <c r="O12" s="1"/>
      <c r="P12" s="1"/>
      <c r="Q12" s="1"/>
      <c r="R12" s="1"/>
      <c r="Y12" s="39">
        <f t="shared" si="3"/>
        <v>29.14</v>
      </c>
    </row>
    <row r="13" spans="1:25" x14ac:dyDescent="0.2">
      <c r="A13" t="s">
        <v>38</v>
      </c>
      <c r="B13" t="s">
        <v>2</v>
      </c>
      <c r="C13" s="33">
        <v>28.5</v>
      </c>
      <c r="D13" s="33">
        <v>28.5</v>
      </c>
      <c r="E13" s="33">
        <v>28.5</v>
      </c>
      <c r="F13" s="33">
        <f t="shared" si="0"/>
        <v>28.5</v>
      </c>
      <c r="H13">
        <f t="shared" si="4"/>
        <v>0</v>
      </c>
      <c r="I13" s="26">
        <f t="shared" si="2"/>
        <v>1</v>
      </c>
      <c r="J13" s="1"/>
      <c r="K13" s="1"/>
      <c r="L13" s="1"/>
      <c r="M13" s="1"/>
      <c r="N13" s="1"/>
      <c r="Q13" s="1"/>
      <c r="R13" s="1"/>
      <c r="Y13" s="39">
        <f t="shared" si="3"/>
        <v>28.630000000000003</v>
      </c>
    </row>
    <row r="14" spans="1:25" x14ac:dyDescent="0.2">
      <c r="A14" t="s">
        <v>39</v>
      </c>
      <c r="B14" t="s">
        <v>1</v>
      </c>
      <c r="C14" s="33">
        <v>31.26</v>
      </c>
      <c r="D14" s="33">
        <v>31.26</v>
      </c>
      <c r="E14" s="33">
        <v>31.26</v>
      </c>
      <c r="F14" s="33">
        <f t="shared" si="0"/>
        <v>31.26</v>
      </c>
      <c r="G14">
        <f>AVERAGE(F14:F16)</f>
        <v>31.080000000000002</v>
      </c>
      <c r="H14">
        <f>$G$14-F14</f>
        <v>-0.17999999999999972</v>
      </c>
      <c r="I14" s="26">
        <f t="shared" si="2"/>
        <v>0.88270299629065507</v>
      </c>
      <c r="J14" s="26">
        <f>GEOMEAN(I2,I8)</f>
        <v>0.8408964152537145</v>
      </c>
      <c r="K14" s="26">
        <f>I14/GEOMEAN($J$14:$J$16)</f>
        <v>0.88270299629065574</v>
      </c>
      <c r="L14" s="1">
        <f>LOG(K14,2)</f>
        <v>-0.17999999999999858</v>
      </c>
      <c r="M14" s="4">
        <f>GEOMEAN(K14:K16)</f>
        <v>1.0000000000000018</v>
      </c>
      <c r="N14" s="1">
        <f>LOG(M14,2)</f>
        <v>2.5627412030519321E-15</v>
      </c>
      <c r="O14" s="1">
        <f>_xlfn.STDEV.S(L14:L16)</f>
        <v>0.15716233645501812</v>
      </c>
      <c r="P14" s="1">
        <f>O14/SQRT(COUNT(L14:L16))</f>
        <v>9.0737717258775247E-2</v>
      </c>
      <c r="Q14" s="1">
        <f>(1+1)^(N14-1*P14)</f>
        <v>0.93904245022500832</v>
      </c>
      <c r="R14" s="1">
        <f>(1+1)^(N14+1*P14)</f>
        <v>1.064914583744738</v>
      </c>
      <c r="S14" s="24">
        <f>ABS($M14-2^($N14-$P14))</f>
        <v>6.0957549774993458E-2</v>
      </c>
      <c r="T14" s="15">
        <f>ABS($M14-2^($N14+$P14))</f>
        <v>6.4914583744736243E-2</v>
      </c>
      <c r="U14" s="1">
        <f>(1+1)^($N14-$V$2*$P14)</f>
        <v>0.76291123463077959</v>
      </c>
      <c r="V14" s="1">
        <f>(1+1)^($N14+$V$2*$P14)</f>
        <v>1.3107684807970694</v>
      </c>
      <c r="W14" s="16">
        <f>ABS($M14-U14)</f>
        <v>0.23708876536922219</v>
      </c>
      <c r="X14" s="16">
        <f>ABS($M14-V14)</f>
        <v>0.31076848079706765</v>
      </c>
      <c r="Y14" s="1">
        <f>F14-Y$8</f>
        <v>2.3900000000000041</v>
      </c>
    </row>
    <row r="15" spans="1:25" x14ac:dyDescent="0.2">
      <c r="A15" t="s">
        <v>39</v>
      </c>
      <c r="B15" t="s">
        <v>1</v>
      </c>
      <c r="C15" s="33">
        <v>31.01</v>
      </c>
      <c r="D15" s="33">
        <v>31.01</v>
      </c>
      <c r="E15" s="33">
        <v>31.01</v>
      </c>
      <c r="F15" s="33">
        <f t="shared" si="0"/>
        <v>31.01</v>
      </c>
      <c r="H15">
        <f t="shared" ref="H15:H19" si="5">$G$14-F15</f>
        <v>7.0000000000000284E-2</v>
      </c>
      <c r="I15" s="26">
        <f t="shared" si="2"/>
        <v>1.0497166836230676</v>
      </c>
      <c r="J15" s="26">
        <f t="shared" ref="J15:J19" si="6">GEOMEAN(I3,I9)</f>
        <v>1.1447241605986822</v>
      </c>
      <c r="K15" s="26">
        <f t="shared" ref="K15:K16" si="7">I15/GEOMEAN($J$14:$J$16)</f>
        <v>1.0497166836230685</v>
      </c>
      <c r="L15" s="1">
        <f t="shared" ref="L15:L19" si="8">LOG(K15,2)</f>
        <v>7.0000000000001644E-2</v>
      </c>
      <c r="M15" s="1"/>
      <c r="N15" s="1"/>
      <c r="O15" s="17"/>
      <c r="P15" s="1"/>
      <c r="Q15" s="1"/>
      <c r="R15" s="1"/>
      <c r="S15" s="15"/>
      <c r="T15" s="15"/>
      <c r="U15" s="1"/>
      <c r="V15" s="1"/>
      <c r="W15" s="16"/>
      <c r="X15" s="16"/>
      <c r="Y15" s="1">
        <f>F15-Y$9</f>
        <v>2.5849999999999973</v>
      </c>
    </row>
    <row r="16" spans="1:25" x14ac:dyDescent="0.2">
      <c r="A16" t="s">
        <v>39</v>
      </c>
      <c r="B16" t="s">
        <v>1</v>
      </c>
      <c r="C16" s="33">
        <v>30.97</v>
      </c>
      <c r="D16" s="33">
        <v>30.97</v>
      </c>
      <c r="E16" s="33">
        <v>30.97</v>
      </c>
      <c r="F16" s="33">
        <f t="shared" si="0"/>
        <v>30.97</v>
      </c>
      <c r="H16">
        <f t="shared" si="5"/>
        <v>0.11000000000000298</v>
      </c>
      <c r="I16" s="26">
        <f t="shared" si="2"/>
        <v>1.0792282365044295</v>
      </c>
      <c r="J16" s="26">
        <f t="shared" si="6"/>
        <v>1.0388591032976642</v>
      </c>
      <c r="K16" s="26">
        <f t="shared" si="7"/>
        <v>1.0792282365044303</v>
      </c>
      <c r="L16" s="1">
        <f t="shared" si="8"/>
        <v>0.11000000000000421</v>
      </c>
      <c r="M16" s="1"/>
      <c r="N16" s="1"/>
      <c r="O16" s="1"/>
      <c r="P16" s="1"/>
      <c r="Q16" s="1"/>
      <c r="R16" s="1"/>
      <c r="S16" s="15"/>
      <c r="T16" s="15"/>
      <c r="U16" s="1"/>
      <c r="V16" s="1"/>
      <c r="W16" s="16"/>
      <c r="X16" s="16"/>
      <c r="Y16" s="1">
        <f>F16-Y$10</f>
        <v>2.4050000000000011</v>
      </c>
    </row>
    <row r="17" spans="1:25" x14ac:dyDescent="0.2">
      <c r="A17" t="s">
        <v>39</v>
      </c>
      <c r="B17" t="s">
        <v>2</v>
      </c>
      <c r="C17" s="33">
        <v>32.65</v>
      </c>
      <c r="D17" s="33">
        <v>32.65</v>
      </c>
      <c r="E17" s="33">
        <v>32.65</v>
      </c>
      <c r="F17" s="33">
        <f t="shared" si="0"/>
        <v>32.65</v>
      </c>
      <c r="G17">
        <f>AVERAGE(F17:F19)</f>
        <v>32.360000000000007</v>
      </c>
      <c r="H17">
        <f t="shared" si="5"/>
        <v>-1.5699999999999967</v>
      </c>
      <c r="I17" s="26">
        <f t="shared" si="2"/>
        <v>0.33680839421642333</v>
      </c>
      <c r="J17" s="27">
        <f t="shared" si="6"/>
        <v>1.2311444133449154</v>
      </c>
      <c r="K17" s="27">
        <f>I17/GEOMEAN($J$17:$J$19)</f>
        <v>0.35519093478224495</v>
      </c>
      <c r="L17" s="1">
        <f t="shared" si="8"/>
        <v>-1.4933333333333294</v>
      </c>
      <c r="M17" s="4">
        <f>GEOMEAN(K17:K19)</f>
        <v>0.43427074313586911</v>
      </c>
      <c r="N17" s="1">
        <f>LOG(M17,2)</f>
        <v>-1.2033333333333303</v>
      </c>
      <c r="O17" s="1">
        <f>_xlfn.STDEV.S(L17:L19)</f>
        <v>0.31192947920964259</v>
      </c>
      <c r="P17" s="1">
        <f>O17/SQRT(COUNT(L17:L19))</f>
        <v>0.18009256878986693</v>
      </c>
      <c r="Q17" s="1">
        <f>(1+1)^(N17-1*P17)</f>
        <v>0.38330749091480809</v>
      </c>
      <c r="R17" s="1">
        <f>(1+1)^(N17+1*P17)</f>
        <v>0.49200989496366299</v>
      </c>
      <c r="S17" s="15">
        <f t="shared" ref="S17" si="9">ABS($M17-2^($N17-$P17))</f>
        <v>5.0963252221061017E-2</v>
      </c>
      <c r="T17" s="15">
        <f t="shared" ref="T17" si="10">ABS($M17-2^($N17+$P17))</f>
        <v>5.7739151827793878E-2</v>
      </c>
      <c r="U17" s="1">
        <f>(1+1)^($N17-$V$2*$P17)</f>
        <v>0.25380473401248943</v>
      </c>
      <c r="V17" s="1">
        <f>(1+1)^($N17+$V$2*$P17)</f>
        <v>0.74305579475322003</v>
      </c>
      <c r="W17" s="16">
        <f>ABS($M17-U17)</f>
        <v>0.18046600912337968</v>
      </c>
      <c r="X17" s="16">
        <f>ABS($M17-V17)</f>
        <v>0.30878505161735093</v>
      </c>
      <c r="Y17" s="1">
        <f>F17-Y$11</f>
        <v>4.3299999999999983</v>
      </c>
    </row>
    <row r="18" spans="1:25" x14ac:dyDescent="0.2">
      <c r="A18" t="s">
        <v>39</v>
      </c>
      <c r="B18" t="s">
        <v>2</v>
      </c>
      <c r="C18" s="33">
        <v>32.03</v>
      </c>
      <c r="D18" s="33">
        <v>32.03</v>
      </c>
      <c r="E18" s="33">
        <v>32.03</v>
      </c>
      <c r="F18" s="33">
        <f t="shared" si="0"/>
        <v>32.03</v>
      </c>
      <c r="H18">
        <f t="shared" si="5"/>
        <v>-0.94999999999999929</v>
      </c>
      <c r="I18" s="26">
        <f t="shared" si="2"/>
        <v>0.51763246192068901</v>
      </c>
      <c r="J18" s="27">
        <f t="shared" si="6"/>
        <v>0.6973718331752029</v>
      </c>
      <c r="K18" s="27">
        <f t="shared" ref="K18:K19" si="11">I18/GEOMEAN($J$17:$J$19)</f>
        <v>0.54588413228532029</v>
      </c>
      <c r="L18" s="1">
        <f t="shared" si="8"/>
        <v>-0.87333333333333185</v>
      </c>
      <c r="M18" s="1"/>
      <c r="N18" s="1"/>
      <c r="O18" s="1"/>
      <c r="P18" s="1"/>
      <c r="Q18" s="1"/>
      <c r="R18" s="1"/>
      <c r="Y18" s="1">
        <f>F18-Y$12</f>
        <v>2.8900000000000006</v>
      </c>
    </row>
    <row r="19" spans="1:25" x14ac:dyDescent="0.2">
      <c r="A19" t="s">
        <v>39</v>
      </c>
      <c r="B19" t="s">
        <v>2</v>
      </c>
      <c r="C19" s="33">
        <v>32.4</v>
      </c>
      <c r="D19" s="33">
        <v>32.4</v>
      </c>
      <c r="E19" s="33">
        <v>32.4</v>
      </c>
      <c r="F19" s="33">
        <f t="shared" si="0"/>
        <v>32.4</v>
      </c>
      <c r="H19">
        <f t="shared" si="5"/>
        <v>-1.3199999999999967</v>
      </c>
      <c r="I19" s="26">
        <f t="shared" si="2"/>
        <v>0.400534938794812</v>
      </c>
      <c r="J19" s="27">
        <f t="shared" si="6"/>
        <v>0.99309249543703482</v>
      </c>
      <c r="K19" s="27">
        <f t="shared" si="11"/>
        <v>0.42239558682751321</v>
      </c>
      <c r="L19" s="1">
        <f t="shared" si="8"/>
        <v>-1.2433333333333292</v>
      </c>
      <c r="M19" s="1"/>
      <c r="N19" s="1"/>
      <c r="O19" s="1"/>
      <c r="P19" s="1"/>
      <c r="Q19" s="1"/>
      <c r="R19" s="1"/>
      <c r="Y19" s="1">
        <f>F19-Y$13</f>
        <v>3.769999999999996</v>
      </c>
    </row>
    <row r="20" spans="1:25" x14ac:dyDescent="0.2">
      <c r="A20" s="18" t="s">
        <v>42</v>
      </c>
      <c r="B20" s="18" t="s">
        <v>1</v>
      </c>
      <c r="C20" s="23">
        <v>25</v>
      </c>
      <c r="D20" s="23">
        <v>25</v>
      </c>
      <c r="E20" s="23">
        <v>25</v>
      </c>
      <c r="F20" s="23">
        <f t="shared" si="0"/>
        <v>25</v>
      </c>
      <c r="G20" s="18">
        <f>AVERAGE(F20:F22)</f>
        <v>24</v>
      </c>
      <c r="H20" s="23">
        <f>$G$20-F20</f>
        <v>-1</v>
      </c>
      <c r="I20" s="26">
        <f t="shared" si="2"/>
        <v>0.5</v>
      </c>
      <c r="J20" s="23"/>
      <c r="K20" s="23">
        <f>I20/GEOMEAN($J$14:$J$16)</f>
        <v>0.50000000000000044</v>
      </c>
      <c r="L20" s="23">
        <f t="shared" ref="L20:L25" si="12">LOG(K20,2)</f>
        <v>-0.99999999999999867</v>
      </c>
      <c r="M20" s="4">
        <f>GEOMEAN(K20:K22)</f>
        <v>1.0000000000000009</v>
      </c>
      <c r="N20" s="1">
        <f>LOG(M20,2)</f>
        <v>1.2813706015259665E-15</v>
      </c>
      <c r="O20" s="1">
        <f>_xlfn.STDEV.S(L20:L22)</f>
        <v>1</v>
      </c>
      <c r="P20" s="1">
        <f>O20/SQRT(COUNT(L20:L22))</f>
        <v>0.57735026918962584</v>
      </c>
      <c r="Q20" s="1">
        <f>(1+1)^(N20-1*P20)</f>
        <v>0.67019356101380156</v>
      </c>
      <c r="R20" s="1">
        <f>(1+1)^(N20+1*P20)</f>
        <v>1.4921062483609993</v>
      </c>
      <c r="S20" s="15">
        <f>ABS($M20-2^($N20-$P20))</f>
        <v>0.32980643898619932</v>
      </c>
      <c r="T20" s="15">
        <f>ABS($M20-2^($N20+$P20))</f>
        <v>0.49210624836099837</v>
      </c>
      <c r="Y20" s="1">
        <f>F20-Y$8</f>
        <v>-3.8699999999999974</v>
      </c>
    </row>
    <row r="21" spans="1:25" x14ac:dyDescent="0.2">
      <c r="A21" s="18" t="s">
        <v>42</v>
      </c>
      <c r="B21" s="18" t="s">
        <v>1</v>
      </c>
      <c r="C21" s="23">
        <v>24</v>
      </c>
      <c r="D21" s="23">
        <v>24</v>
      </c>
      <c r="E21" s="23">
        <v>24</v>
      </c>
      <c r="F21" s="23">
        <f t="shared" si="0"/>
        <v>24</v>
      </c>
      <c r="G21" s="18"/>
      <c r="H21" s="23">
        <f t="shared" ref="H21:H25" si="13">$G$20-F21</f>
        <v>0</v>
      </c>
      <c r="I21" s="26">
        <f t="shared" si="2"/>
        <v>1</v>
      </c>
      <c r="J21" s="23"/>
      <c r="K21" s="23">
        <f t="shared" ref="K21:K22" si="14">I21/GEOMEAN($J$14:$J$16)</f>
        <v>1.0000000000000009</v>
      </c>
      <c r="L21" s="23">
        <f t="shared" si="12"/>
        <v>1.2813706015259665E-15</v>
      </c>
      <c r="N21" s="1"/>
      <c r="O21" s="17"/>
      <c r="P21" s="1"/>
      <c r="Q21" s="1"/>
      <c r="R21" s="1"/>
      <c r="S21" s="15"/>
      <c r="T21" s="15"/>
      <c r="Y21" s="1">
        <f>F21-Y$9</f>
        <v>-4.4250000000000043</v>
      </c>
    </row>
    <row r="22" spans="1:25" x14ac:dyDescent="0.2">
      <c r="A22" s="18" t="s">
        <v>42</v>
      </c>
      <c r="B22" s="18" t="s">
        <v>1</v>
      </c>
      <c r="C22" s="23">
        <v>23</v>
      </c>
      <c r="D22" s="23">
        <v>23</v>
      </c>
      <c r="E22" s="23">
        <v>23</v>
      </c>
      <c r="F22" s="23">
        <f t="shared" si="0"/>
        <v>23</v>
      </c>
      <c r="G22" s="18"/>
      <c r="H22" s="23">
        <f t="shared" si="13"/>
        <v>1</v>
      </c>
      <c r="I22" s="26">
        <f t="shared" si="2"/>
        <v>2</v>
      </c>
      <c r="J22" s="23"/>
      <c r="K22" s="23">
        <f t="shared" si="14"/>
        <v>2.0000000000000018</v>
      </c>
      <c r="L22" s="23">
        <f t="shared" si="12"/>
        <v>1.0000000000000013</v>
      </c>
      <c r="N22" s="1"/>
      <c r="O22" s="1"/>
      <c r="P22" s="1"/>
      <c r="Q22" s="1"/>
      <c r="R22" s="1"/>
      <c r="S22" s="15"/>
      <c r="T22" s="15"/>
      <c r="Y22" s="1">
        <f>F22-Y$10</f>
        <v>-5.5649999999999977</v>
      </c>
    </row>
    <row r="23" spans="1:25" x14ac:dyDescent="0.2">
      <c r="A23" s="18" t="s">
        <v>42</v>
      </c>
      <c r="B23" s="18" t="s">
        <v>2</v>
      </c>
      <c r="C23" s="23">
        <v>29</v>
      </c>
      <c r="D23" s="23">
        <v>29</v>
      </c>
      <c r="E23" s="23">
        <v>29</v>
      </c>
      <c r="F23" s="23">
        <f t="shared" si="0"/>
        <v>29</v>
      </c>
      <c r="G23" s="18">
        <f>AVERAGE(F23:F25)</f>
        <v>29</v>
      </c>
      <c r="H23" s="23">
        <f t="shared" si="13"/>
        <v>-5</v>
      </c>
      <c r="I23" s="26">
        <f t="shared" si="2"/>
        <v>3.125E-2</v>
      </c>
      <c r="J23" s="23"/>
      <c r="K23" s="23">
        <f>I23/GEOMEAN($J$17:$J$19)</f>
        <v>3.2955582172375424E-2</v>
      </c>
      <c r="L23" s="23">
        <f t="shared" si="12"/>
        <v>-4.9233333333333329</v>
      </c>
      <c r="M23" s="4">
        <f>GEOMEAN(K23:K25)</f>
        <v>3.2955582172375424E-2</v>
      </c>
      <c r="N23" s="1">
        <f>LOG(M23,2)</f>
        <v>-4.9233333333333329</v>
      </c>
      <c r="O23" s="1">
        <f>_xlfn.STDEV.S(L23:L25)</f>
        <v>0</v>
      </c>
      <c r="P23" s="1">
        <f>O23/SQRT(COUNT(L23:L25))</f>
        <v>0</v>
      </c>
      <c r="Q23" s="1">
        <f>(1+1)^(N23-1*P23)</f>
        <v>3.2955582172375424E-2</v>
      </c>
      <c r="R23" s="1">
        <f>(1+1)^(N23+1*P23)</f>
        <v>3.2955582172375424E-2</v>
      </c>
      <c r="S23" s="15">
        <f t="shared" ref="S23" si="15">ABS($M23-2^($N23-$P23))</f>
        <v>0</v>
      </c>
      <c r="T23" s="15">
        <f t="shared" ref="T23" si="16">ABS($M23-2^($N23+$P23))</f>
        <v>0</v>
      </c>
      <c r="Y23" s="1">
        <f>F23-Y$11</f>
        <v>0.67999999999999972</v>
      </c>
    </row>
    <row r="24" spans="1:25" x14ac:dyDescent="0.2">
      <c r="A24" s="18" t="s">
        <v>42</v>
      </c>
      <c r="B24" s="18" t="s">
        <v>2</v>
      </c>
      <c r="C24" s="23">
        <v>29</v>
      </c>
      <c r="D24" s="23">
        <v>29</v>
      </c>
      <c r="E24" s="23">
        <v>29</v>
      </c>
      <c r="F24" s="23">
        <f t="shared" si="0"/>
        <v>29</v>
      </c>
      <c r="G24" s="23"/>
      <c r="H24" s="23">
        <f t="shared" si="13"/>
        <v>-5</v>
      </c>
      <c r="I24" s="26">
        <f t="shared" si="2"/>
        <v>3.125E-2</v>
      </c>
      <c r="J24" s="23"/>
      <c r="K24" s="23">
        <f t="shared" ref="K24:K25" si="17">I24/GEOMEAN($J$17:$J$19)</f>
        <v>3.2955582172375424E-2</v>
      </c>
      <c r="L24" s="23">
        <f t="shared" si="12"/>
        <v>-4.9233333333333329</v>
      </c>
      <c r="N24" s="1"/>
      <c r="Y24" s="1">
        <f>F24-Y$12</f>
        <v>-0.14000000000000057</v>
      </c>
    </row>
    <row r="25" spans="1:25" x14ac:dyDescent="0.2">
      <c r="A25" s="18" t="s">
        <v>42</v>
      </c>
      <c r="B25" s="18" t="s">
        <v>2</v>
      </c>
      <c r="C25" s="23">
        <v>29</v>
      </c>
      <c r="D25" s="23">
        <v>29</v>
      </c>
      <c r="E25" s="23">
        <v>29</v>
      </c>
      <c r="F25" s="23">
        <f t="shared" si="0"/>
        <v>29</v>
      </c>
      <c r="G25" s="23"/>
      <c r="H25" s="23">
        <f t="shared" si="13"/>
        <v>-5</v>
      </c>
      <c r="I25" s="26">
        <f t="shared" si="2"/>
        <v>3.125E-2</v>
      </c>
      <c r="J25" s="18"/>
      <c r="K25" s="23">
        <f t="shared" si="17"/>
        <v>3.2955582172375424E-2</v>
      </c>
      <c r="L25" s="23">
        <f t="shared" si="12"/>
        <v>-4.9233333333333329</v>
      </c>
      <c r="N25" s="1"/>
      <c r="Y25" s="1">
        <f>F25-Y$13</f>
        <v>0.36999999999999744</v>
      </c>
    </row>
    <row r="26" spans="1:25" s="19" customFormat="1" x14ac:dyDescent="0.2">
      <c r="G26" s="20"/>
      <c r="H26" s="20"/>
      <c r="I26" s="20"/>
    </row>
    <row r="27" spans="1:25" s="21" customFormat="1" x14ac:dyDescent="0.2">
      <c r="G27" s="22"/>
      <c r="H27" s="22"/>
      <c r="I27" s="22"/>
    </row>
    <row r="28" spans="1:25" s="21" customFormat="1" x14ac:dyDescent="0.2">
      <c r="A28" s="40" t="s">
        <v>60</v>
      </c>
      <c r="B28" s="40"/>
      <c r="C28" s="35" t="s">
        <v>65</v>
      </c>
      <c r="D28" s="35">
        <f>IF(C28="YES",AVERAGE((AVERAGE(C2:C4)-AVERAGE(C8:C10)),(AVERAGE(C5:C7)-AVERAGE(C11:C13))),"no calibrator" )</f>
        <v>0.31666666666666643</v>
      </c>
      <c r="E28" s="41"/>
      <c r="F28" s="41"/>
      <c r="G28" s="22"/>
      <c r="H28" s="22"/>
      <c r="I28" s="22"/>
    </row>
    <row r="29" spans="1:25" s="21" customFormat="1" x14ac:dyDescent="0.2">
      <c r="G29" s="22"/>
      <c r="H29" s="22"/>
      <c r="I29" s="22"/>
    </row>
    <row r="30" spans="1:25" ht="16.5" customHeight="1" x14ac:dyDescent="0.2">
      <c r="A30" t="str">
        <f t="shared" ref="A30:A35" si="18">IF($C$28="YES",A8,"")</f>
        <v>reference-2</v>
      </c>
      <c r="C30">
        <f>IF($C$28="YES",B30+$D$28,"")</f>
        <v>0.31666666666666643</v>
      </c>
      <c r="E30" s="42" t="s">
        <v>8</v>
      </c>
      <c r="F30" s="42"/>
      <c r="G30" s="12" t="s">
        <v>39</v>
      </c>
      <c r="H30" s="18" t="s">
        <v>42</v>
      </c>
      <c r="N30" s="12"/>
      <c r="O30" s="12"/>
    </row>
    <row r="31" spans="1:25" x14ac:dyDescent="0.2">
      <c r="A31" t="str">
        <f t="shared" si="18"/>
        <v>reference-2</v>
      </c>
      <c r="C31">
        <f t="shared" ref="C31:C35" si="19">IF($C$28="YES",B31+$D$28,"")</f>
        <v>0.31666666666666643</v>
      </c>
      <c r="F31" t="s">
        <v>22</v>
      </c>
      <c r="G31" s="4">
        <f>M14</f>
        <v>1.0000000000000018</v>
      </c>
      <c r="H31" s="23">
        <f>M20</f>
        <v>1.0000000000000009</v>
      </c>
      <c r="K31" s="30"/>
    </row>
    <row r="32" spans="1:25" x14ac:dyDescent="0.2">
      <c r="A32" t="str">
        <f t="shared" si="18"/>
        <v>reference-2</v>
      </c>
      <c r="C32">
        <f t="shared" si="19"/>
        <v>0.31666666666666643</v>
      </c>
      <c r="F32" t="s">
        <v>41</v>
      </c>
      <c r="G32" s="4">
        <f>M17</f>
        <v>0.43427074313586911</v>
      </c>
      <c r="H32" s="23">
        <f>M23</f>
        <v>3.2955582172375424E-2</v>
      </c>
    </row>
    <row r="33" spans="1:16" x14ac:dyDescent="0.2">
      <c r="A33" t="str">
        <f t="shared" si="18"/>
        <v>reference-2</v>
      </c>
      <c r="C33">
        <f t="shared" si="19"/>
        <v>0.31666666666666643</v>
      </c>
      <c r="P33" s="12"/>
    </row>
    <row r="34" spans="1:16" x14ac:dyDescent="0.2">
      <c r="A34" t="str">
        <f t="shared" si="18"/>
        <v>reference-2</v>
      </c>
      <c r="C34">
        <f t="shared" si="19"/>
        <v>0.31666666666666643</v>
      </c>
    </row>
    <row r="35" spans="1:16" x14ac:dyDescent="0.2">
      <c r="A35" t="str">
        <f t="shared" si="18"/>
        <v>reference-2</v>
      </c>
      <c r="C35">
        <f t="shared" si="19"/>
        <v>0.31666666666666643</v>
      </c>
      <c r="E35" t="s">
        <v>22</v>
      </c>
      <c r="F35" s="12" t="str">
        <f>G30</f>
        <v>target-1</v>
      </c>
      <c r="G35" s="25" t="str">
        <f>H30</f>
        <v>target-2</v>
      </c>
    </row>
    <row r="36" spans="1:16" x14ac:dyDescent="0.2">
      <c r="E36" t="s">
        <v>5</v>
      </c>
      <c r="F36" s="15">
        <f>S14</f>
        <v>6.0957549774993458E-2</v>
      </c>
      <c r="G36" s="23">
        <f>S20</f>
        <v>0.32980643898619932</v>
      </c>
    </row>
    <row r="37" spans="1:16" x14ac:dyDescent="0.2">
      <c r="E37" t="s">
        <v>6</v>
      </c>
      <c r="F37" s="15">
        <f>T14</f>
        <v>6.4914583744736243E-2</v>
      </c>
      <c r="G37" s="23">
        <f>T20</f>
        <v>0.49210624836099837</v>
      </c>
    </row>
    <row r="39" spans="1:16" x14ac:dyDescent="0.2">
      <c r="E39" t="s">
        <v>2</v>
      </c>
      <c r="G39" s="18"/>
    </row>
    <row r="40" spans="1:16" x14ac:dyDescent="0.2">
      <c r="E40" t="s">
        <v>5</v>
      </c>
      <c r="F40" s="15">
        <f>S17</f>
        <v>5.0963252221061017E-2</v>
      </c>
      <c r="G40" s="23">
        <f>S23</f>
        <v>0</v>
      </c>
    </row>
    <row r="41" spans="1:16" x14ac:dyDescent="0.2">
      <c r="E41" t="s">
        <v>6</v>
      </c>
      <c r="F41" s="15">
        <f>T17</f>
        <v>5.7739151827793878E-2</v>
      </c>
      <c r="G41" s="23">
        <f>T23</f>
        <v>0</v>
      </c>
    </row>
    <row r="69" spans="1:5" x14ac:dyDescent="0.2">
      <c r="A69" s="43" t="s">
        <v>47</v>
      </c>
      <c r="B69" s="44"/>
      <c r="C69" s="44"/>
      <c r="D69" s="44"/>
      <c r="E69" s="45"/>
    </row>
    <row r="70" spans="1:5" x14ac:dyDescent="0.2">
      <c r="A70" s="46"/>
      <c r="B70" s="47"/>
      <c r="C70" s="47"/>
      <c r="D70" s="47"/>
      <c r="E70" s="48"/>
    </row>
    <row r="71" spans="1:5" x14ac:dyDescent="0.2">
      <c r="A71" s="46"/>
      <c r="B71" s="47"/>
      <c r="C71" s="47"/>
      <c r="D71" s="47"/>
      <c r="E71" s="48"/>
    </row>
    <row r="72" spans="1:5" x14ac:dyDescent="0.2">
      <c r="A72" s="49"/>
      <c r="B72" s="50"/>
      <c r="C72" s="50"/>
      <c r="D72" s="50"/>
      <c r="E72" s="51"/>
    </row>
  </sheetData>
  <mergeCells count="4">
    <mergeCell ref="A69:E72"/>
    <mergeCell ref="E30:F30"/>
    <mergeCell ref="A28:B28"/>
    <mergeCell ref="E28:F28"/>
  </mergeCells>
  <phoneticPr fontId="7" type="noConversion"/>
  <dataValidations count="1">
    <dataValidation type="list" allowBlank="1" showInputMessage="1" showErrorMessage="1" errorTitle="inter-run calilbrator" error="please selecte YES or NO" promptTitle="inter-run calibrator" prompt="Chose if you want to know the inter-run calibrator value. This values will be added to the reference Cq of the second run" sqref="C28" xr:uid="{E3FECE76-1DA5-4A7C-A913-B831AB24A383}">
      <formula1>"YES, 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E36A4-8FB5-47BC-87D5-5FB01D1EDD53}">
  <dimension ref="A2:P15"/>
  <sheetViews>
    <sheetView workbookViewId="0">
      <selection activeCell="B34" sqref="B34"/>
    </sheetView>
  </sheetViews>
  <sheetFormatPr defaultRowHeight="14.25" x14ac:dyDescent="0.2"/>
  <cols>
    <col min="1" max="1" width="20.125" bestFit="1" customWidth="1"/>
    <col min="3" max="3" width="13.875" bestFit="1" customWidth="1"/>
    <col min="4" max="4" width="18.875" bestFit="1" customWidth="1"/>
    <col min="5" max="5" width="10.5" customWidth="1"/>
    <col min="7" max="7" width="18.25" bestFit="1" customWidth="1"/>
  </cols>
  <sheetData>
    <row r="2" spans="1:16" x14ac:dyDescent="0.2">
      <c r="A2" t="s">
        <v>48</v>
      </c>
      <c r="B2" s="52" t="s">
        <v>51</v>
      </c>
      <c r="C2" s="52"/>
      <c r="D2" s="52"/>
      <c r="E2" s="52"/>
      <c r="F2" s="52"/>
      <c r="G2" s="52"/>
      <c r="H2" s="52"/>
      <c r="I2" s="52"/>
      <c r="J2" s="52" t="s">
        <v>50</v>
      </c>
      <c r="K2" s="52"/>
      <c r="L2" s="52"/>
      <c r="M2" s="52"/>
      <c r="N2" s="52"/>
      <c r="O2" s="52"/>
      <c r="P2" s="52"/>
    </row>
    <row r="3" spans="1:16" x14ac:dyDescent="0.2">
      <c r="A3" s="28" t="s">
        <v>49</v>
      </c>
      <c r="B3" s="53" t="s">
        <v>52</v>
      </c>
      <c r="C3" s="53"/>
      <c r="D3" s="53"/>
      <c r="E3" s="53"/>
      <c r="F3" s="53"/>
      <c r="G3" s="53"/>
      <c r="H3" s="53"/>
      <c r="I3" s="53"/>
    </row>
    <row r="5" spans="1:16" x14ac:dyDescent="0.2">
      <c r="D5" t="str">
        <f>taylor_et_al_2019!G30</f>
        <v>target-1</v>
      </c>
      <c r="E5" s="18" t="str">
        <f>taylor_et_al_2019!H30</f>
        <v>target-2</v>
      </c>
    </row>
    <row r="6" spans="1:16" x14ac:dyDescent="0.2">
      <c r="C6" t="s">
        <v>1</v>
      </c>
      <c r="D6">
        <v>2.39</v>
      </c>
      <c r="E6" s="18">
        <v>-3.8699999999999974</v>
      </c>
      <c r="G6" s="2"/>
    </row>
    <row r="7" spans="1:16" x14ac:dyDescent="0.2">
      <c r="C7" t="s">
        <v>1</v>
      </c>
      <c r="D7">
        <v>2.585</v>
      </c>
      <c r="E7" s="18">
        <v>-4.4250000000000007</v>
      </c>
      <c r="G7" s="2"/>
    </row>
    <row r="8" spans="1:16" x14ac:dyDescent="0.2">
      <c r="C8" t="s">
        <v>1</v>
      </c>
      <c r="D8">
        <v>2.4049999999999998</v>
      </c>
      <c r="E8" s="18">
        <v>-5.5649999999999977</v>
      </c>
      <c r="G8" s="2"/>
    </row>
    <row r="9" spans="1:16" x14ac:dyDescent="0.2">
      <c r="C9" t="s">
        <v>2</v>
      </c>
      <c r="D9">
        <v>4.33</v>
      </c>
      <c r="E9" s="18">
        <v>0.67999999999999972</v>
      </c>
      <c r="G9" s="2"/>
    </row>
    <row r="10" spans="1:16" x14ac:dyDescent="0.2">
      <c r="C10" t="s">
        <v>2</v>
      </c>
      <c r="D10">
        <v>2.89</v>
      </c>
      <c r="E10" s="18">
        <v>-0.14000000000000057</v>
      </c>
      <c r="G10" s="2"/>
    </row>
    <row r="11" spans="1:16" x14ac:dyDescent="0.2">
      <c r="C11" t="s">
        <v>2</v>
      </c>
      <c r="D11">
        <v>3.77</v>
      </c>
      <c r="E11" s="18">
        <v>0.36999999999999744</v>
      </c>
      <c r="G11" s="2"/>
    </row>
    <row r="13" spans="1:16" x14ac:dyDescent="0.2">
      <c r="D13" t="str">
        <f>D5</f>
        <v>target-1</v>
      </c>
      <c r="E13" s="18" t="str">
        <f>E5</f>
        <v>target-2</v>
      </c>
    </row>
    <row r="14" spans="1:16" x14ac:dyDescent="0.2">
      <c r="C14" s="28" t="s">
        <v>54</v>
      </c>
      <c r="D14" s="29">
        <f>_xlfn.T.TEST(D6:D8,D9:D11,2,3)</f>
        <v>9.9808792018805798E-2</v>
      </c>
      <c r="E14" s="18">
        <f>_xlfn.T.TEST(E6:E8,E9:E11,2,3)</f>
        <v>3.542431660010688E-3</v>
      </c>
      <c r="F14" s="18"/>
      <c r="G14" s="18"/>
    </row>
    <row r="15" spans="1:16" x14ac:dyDescent="0.2">
      <c r="C15" t="s">
        <v>53</v>
      </c>
      <c r="D15" s="29">
        <f>_xlfn.T.TEST(D6:D8,D9:D11,1,3)</f>
        <v>4.9904396009402899E-2</v>
      </c>
      <c r="E15" s="18">
        <f>_xlfn.T.TEST(E6:E8,E9:E11,1,3)</f>
        <v>1.771215830005344E-3</v>
      </c>
      <c r="F15" s="18"/>
    </row>
  </sheetData>
  <mergeCells count="3">
    <mergeCell ref="B2:I2"/>
    <mergeCell ref="B3:I3"/>
    <mergeCell ref="J2:P2"/>
  </mergeCells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E9E39-87C0-4806-AAE4-9CD3A22B7C0F}">
  <sheetPr>
    <tabColor rgb="FFFF0000"/>
  </sheetPr>
  <dimension ref="A1:U31"/>
  <sheetViews>
    <sheetView workbookViewId="0">
      <selection activeCell="G14" sqref="G14"/>
    </sheetView>
  </sheetViews>
  <sheetFormatPr defaultRowHeight="14.25" x14ac:dyDescent="0.2"/>
  <cols>
    <col min="4" max="4" width="8.75" bestFit="1" customWidth="1"/>
    <col min="8" max="8" width="6.25" bestFit="1" customWidth="1"/>
    <col min="9" max="9" width="17.125" bestFit="1" customWidth="1"/>
    <col min="11" max="11" width="10.5" bestFit="1" customWidth="1"/>
    <col min="12" max="12" width="8" bestFit="1" customWidth="1"/>
    <col min="13" max="13" width="5.375" bestFit="1" customWidth="1"/>
    <col min="16" max="16" width="9" customWidth="1"/>
    <col min="17" max="17" width="8.875" customWidth="1"/>
    <col min="18" max="18" width="10.875" customWidth="1"/>
    <col min="19" max="19" width="11.875" bestFit="1" customWidth="1"/>
    <col min="21" max="21" width="22.5" bestFit="1" customWidth="1"/>
  </cols>
  <sheetData>
    <row r="1" spans="1:11" ht="57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23</v>
      </c>
      <c r="F1" s="3" t="s">
        <v>25</v>
      </c>
      <c r="G1" s="3" t="s">
        <v>24</v>
      </c>
      <c r="H1" s="3" t="s">
        <v>26</v>
      </c>
      <c r="I1" s="3" t="s">
        <v>36</v>
      </c>
    </row>
    <row r="2" spans="1:11" x14ac:dyDescent="0.2">
      <c r="A2" t="s">
        <v>0</v>
      </c>
      <c r="B2" t="s">
        <v>1</v>
      </c>
      <c r="C2" s="1">
        <v>28.74</v>
      </c>
      <c r="D2">
        <f>AVERAGE(C2:C4)</f>
        <v>28.74</v>
      </c>
      <c r="E2" s="1">
        <f>$D$2-C2</f>
        <v>0</v>
      </c>
      <c r="K2" s="1"/>
    </row>
    <row r="3" spans="1:11" x14ac:dyDescent="0.2">
      <c r="A3" t="s">
        <v>0</v>
      </c>
      <c r="B3" t="s">
        <v>1</v>
      </c>
      <c r="C3" s="1">
        <v>28.85</v>
      </c>
      <c r="E3" s="1">
        <f t="shared" ref="E3:E7" si="0">$D$2-C3</f>
        <v>-0.11000000000000298</v>
      </c>
      <c r="K3" s="1"/>
    </row>
    <row r="4" spans="1:11" x14ac:dyDescent="0.2">
      <c r="A4" t="s">
        <v>0</v>
      </c>
      <c r="B4" t="s">
        <v>1</v>
      </c>
      <c r="C4" s="1">
        <v>28.63</v>
      </c>
      <c r="E4" s="1">
        <f t="shared" si="0"/>
        <v>0.10999999999999943</v>
      </c>
      <c r="K4" s="1"/>
    </row>
    <row r="5" spans="1:11" x14ac:dyDescent="0.2">
      <c r="A5" t="s">
        <v>0</v>
      </c>
      <c r="B5" t="s">
        <v>2</v>
      </c>
      <c r="C5" s="1">
        <v>28.84</v>
      </c>
      <c r="E5" s="1">
        <f t="shared" si="0"/>
        <v>-0.10000000000000142</v>
      </c>
      <c r="K5" s="1"/>
    </row>
    <row r="6" spans="1:11" x14ac:dyDescent="0.2">
      <c r="A6" t="s">
        <v>0</v>
      </c>
      <c r="B6" t="s">
        <v>2</v>
      </c>
      <c r="C6" s="1">
        <v>29.08</v>
      </c>
      <c r="E6" s="1">
        <f t="shared" si="0"/>
        <v>-0.33999999999999986</v>
      </c>
      <c r="K6" s="1"/>
    </row>
    <row r="7" spans="1:11" x14ac:dyDescent="0.2">
      <c r="A7" t="s">
        <v>0</v>
      </c>
      <c r="B7" t="s">
        <v>2</v>
      </c>
      <c r="C7" s="1">
        <v>28.76</v>
      </c>
      <c r="E7" s="1">
        <f t="shared" si="0"/>
        <v>-2.0000000000003126E-2</v>
      </c>
      <c r="K7" s="1"/>
    </row>
    <row r="8" spans="1:11" x14ac:dyDescent="0.2">
      <c r="A8" t="s">
        <v>3</v>
      </c>
      <c r="B8" t="s">
        <v>1</v>
      </c>
      <c r="C8" s="1">
        <v>29</v>
      </c>
      <c r="D8">
        <f>AVERAGE(C8:C10)</f>
        <v>28.5</v>
      </c>
      <c r="E8" s="1">
        <f>$D$8-C8</f>
        <v>-0.5</v>
      </c>
      <c r="K8" s="1"/>
    </row>
    <row r="9" spans="1:11" x14ac:dyDescent="0.2">
      <c r="A9" t="s">
        <v>3</v>
      </c>
      <c r="B9" t="s">
        <v>1</v>
      </c>
      <c r="C9" s="1">
        <v>28</v>
      </c>
      <c r="E9" s="1">
        <f t="shared" ref="E9:E13" si="1">$D$8-C9</f>
        <v>0.5</v>
      </c>
      <c r="K9" s="1"/>
    </row>
    <row r="10" spans="1:11" x14ac:dyDescent="0.2">
      <c r="A10" t="s">
        <v>3</v>
      </c>
      <c r="B10" t="s">
        <v>1</v>
      </c>
      <c r="C10" s="1">
        <v>28.5</v>
      </c>
      <c r="E10" s="1">
        <f t="shared" si="1"/>
        <v>0</v>
      </c>
      <c r="K10" s="1"/>
    </row>
    <row r="11" spans="1:11" x14ac:dyDescent="0.2">
      <c r="A11" t="s">
        <v>3</v>
      </c>
      <c r="B11" t="s">
        <v>2</v>
      </c>
      <c r="C11" s="1">
        <v>27.8</v>
      </c>
      <c r="E11" s="1">
        <f t="shared" si="1"/>
        <v>0.69999999999999929</v>
      </c>
      <c r="K11" s="1"/>
    </row>
    <row r="12" spans="1:11" x14ac:dyDescent="0.2">
      <c r="A12" t="s">
        <v>3</v>
      </c>
      <c r="B12" t="s">
        <v>2</v>
      </c>
      <c r="C12" s="1">
        <v>29.2</v>
      </c>
      <c r="E12" s="1">
        <f t="shared" si="1"/>
        <v>-0.69999999999999929</v>
      </c>
      <c r="K12" s="1"/>
    </row>
    <row r="13" spans="1:11" x14ac:dyDescent="0.2">
      <c r="A13" t="s">
        <v>3</v>
      </c>
      <c r="B13" t="s">
        <v>2</v>
      </c>
      <c r="C13" s="1">
        <v>28.5</v>
      </c>
      <c r="E13" s="1">
        <f t="shared" si="1"/>
        <v>0</v>
      </c>
      <c r="K13" s="1"/>
    </row>
    <row r="14" spans="1:11" x14ac:dyDescent="0.2">
      <c r="A14" t="s">
        <v>4</v>
      </c>
      <c r="B14" t="s">
        <v>1</v>
      </c>
      <c r="C14" s="1">
        <v>31.26</v>
      </c>
      <c r="D14">
        <f>AVERAGE(C14:C16)</f>
        <v>31.080000000000002</v>
      </c>
      <c r="E14" s="1">
        <f>$D$14-C14</f>
        <v>-0.17999999999999972</v>
      </c>
      <c r="F14" s="1">
        <f>AVERAGE(E2,E8)</f>
        <v>-0.25</v>
      </c>
      <c r="G14" s="1">
        <f>(E14)-AVERAGE($F$14:$F$16)</f>
        <v>-0.17999999999999913</v>
      </c>
      <c r="H14" s="6">
        <f t="shared" ref="H14:H16" si="2">2^G14</f>
        <v>0.88270299629065541</v>
      </c>
      <c r="I14" s="6">
        <f>AVERAGE(H14:H16)</f>
        <v>1.0038826388060509</v>
      </c>
      <c r="K14" s="1"/>
    </row>
    <row r="15" spans="1:11" x14ac:dyDescent="0.2">
      <c r="A15" t="s">
        <v>4</v>
      </c>
      <c r="B15" t="s">
        <v>1</v>
      </c>
      <c r="C15" s="1">
        <v>31.01</v>
      </c>
      <c r="E15" s="1">
        <f t="shared" ref="E15:E19" si="3">$D$14-C15</f>
        <v>7.0000000000000284E-2</v>
      </c>
      <c r="F15" s="1">
        <f t="shared" ref="F15:F19" si="4">AVERAGE(E3,E9)</f>
        <v>0.19499999999999851</v>
      </c>
      <c r="G15" s="1">
        <f t="shared" ref="G15:G19" si="5">(E15)-AVERAGE($F$14:$F$16)</f>
        <v>7.0000000000000881E-2</v>
      </c>
      <c r="H15" s="6">
        <f t="shared" si="2"/>
        <v>1.0497166836230678</v>
      </c>
      <c r="I15" s="6"/>
      <c r="K15" s="1"/>
    </row>
    <row r="16" spans="1:11" x14ac:dyDescent="0.2">
      <c r="A16" t="s">
        <v>4</v>
      </c>
      <c r="B16" t="s">
        <v>1</v>
      </c>
      <c r="C16" s="1">
        <v>30.97</v>
      </c>
      <c r="E16" s="1">
        <f t="shared" si="3"/>
        <v>0.11000000000000298</v>
      </c>
      <c r="F16" s="1">
        <f t="shared" si="4"/>
        <v>5.4999999999999716E-2</v>
      </c>
      <c r="G16" s="1">
        <f t="shared" si="5"/>
        <v>0.11000000000000358</v>
      </c>
      <c r="H16" s="6">
        <f t="shared" si="2"/>
        <v>1.0792282365044299</v>
      </c>
      <c r="I16" s="6"/>
    </row>
    <row r="17" spans="1:21" x14ac:dyDescent="0.2">
      <c r="A17" t="s">
        <v>4</v>
      </c>
      <c r="B17" t="s">
        <v>2</v>
      </c>
      <c r="C17" s="1">
        <v>32.65</v>
      </c>
      <c r="E17" s="1">
        <f t="shared" si="3"/>
        <v>-1.5699999999999967</v>
      </c>
      <c r="F17" s="1">
        <f t="shared" si="4"/>
        <v>0.29999999999999893</v>
      </c>
      <c r="G17" s="1">
        <f t="shared" si="5"/>
        <v>-1.5699999999999961</v>
      </c>
      <c r="H17" s="6">
        <f>2^G17</f>
        <v>0.33680839421642345</v>
      </c>
      <c r="I17" s="6">
        <f>AVERAGE(H17:H19)</f>
        <v>0.41832526497730821</v>
      </c>
      <c r="K17" s="1" t="s">
        <v>29</v>
      </c>
      <c r="L17" t="s">
        <v>30</v>
      </c>
      <c r="M17" t="s">
        <v>27</v>
      </c>
      <c r="N17" t="s">
        <v>28</v>
      </c>
      <c r="O17" t="s">
        <v>33</v>
      </c>
      <c r="S17" t="s">
        <v>31</v>
      </c>
      <c r="T17" t="s">
        <v>32</v>
      </c>
    </row>
    <row r="18" spans="1:21" x14ac:dyDescent="0.2">
      <c r="A18" t="s">
        <v>4</v>
      </c>
      <c r="B18" t="s">
        <v>2</v>
      </c>
      <c r="C18" s="1">
        <v>32.03</v>
      </c>
      <c r="E18" s="1">
        <f t="shared" si="3"/>
        <v>-0.94999999999999929</v>
      </c>
      <c r="F18" s="1">
        <f t="shared" si="4"/>
        <v>-0.51999999999999957</v>
      </c>
      <c r="G18" s="1">
        <f t="shared" si="5"/>
        <v>-0.94999999999999873</v>
      </c>
      <c r="H18" s="6">
        <f t="shared" ref="H18:H19" si="6">2^G18</f>
        <v>0.51763246192068924</v>
      </c>
      <c r="I18" s="6"/>
      <c r="K18" s="1">
        <f>_xlfn.STDEV.S(E14:E16)</f>
        <v>0.15716233645501806</v>
      </c>
      <c r="L18" s="1">
        <f>_xlfn.STDEV.S(F14:F16)</f>
        <v>0.22754120505965442</v>
      </c>
      <c r="M18" s="7">
        <f>(L18^2+K18^2)^0.5</f>
        <v>0.27654113618049664</v>
      </c>
      <c r="N18">
        <f>M18/SQRT(COUNT(E14:E16))</f>
        <v>0.15966109941581469</v>
      </c>
      <c r="O18" s="6">
        <v>1</v>
      </c>
      <c r="P18">
        <f>O18*N18</f>
        <v>0.15966109941581469</v>
      </c>
      <c r="Q18" s="1">
        <f>AVERAGE($G$14:$G$16)-$P18</f>
        <v>-0.15966109941581291</v>
      </c>
      <c r="R18" s="1">
        <f>AVERAGE($G$14:$G$16)+$P18</f>
        <v>0.15966109941581647</v>
      </c>
      <c r="S18" s="9">
        <f>2^Q18</f>
        <v>0.89523534415985262</v>
      </c>
      <c r="T18" s="9">
        <f>2^R18</f>
        <v>1.1170247092271228</v>
      </c>
      <c r="U18" s="11" t="s">
        <v>35</v>
      </c>
    </row>
    <row r="19" spans="1:21" x14ac:dyDescent="0.2">
      <c r="A19" t="s">
        <v>4</v>
      </c>
      <c r="B19" t="s">
        <v>2</v>
      </c>
      <c r="C19" s="1">
        <v>32.4</v>
      </c>
      <c r="E19" s="1">
        <f t="shared" si="3"/>
        <v>-1.3199999999999967</v>
      </c>
      <c r="F19" s="1">
        <f t="shared" si="4"/>
        <v>-1.0000000000001563E-2</v>
      </c>
      <c r="G19" s="1">
        <f t="shared" si="5"/>
        <v>-1.3199999999999961</v>
      </c>
      <c r="H19" s="6">
        <f t="shared" si="6"/>
        <v>0.40053493879481217</v>
      </c>
      <c r="K19" s="1">
        <f>_xlfn.STDEV.S(E17:E19)</f>
        <v>0.31192947920964259</v>
      </c>
      <c r="L19" s="1">
        <f>_xlfn.STDEV.S(F17:F19)</f>
        <v>0.41404508611180574</v>
      </c>
      <c r="M19" s="7">
        <f>(L19^2+K19^2)^0.5</f>
        <v>0.5183949588232234</v>
      </c>
      <c r="N19">
        <f>M19/SQRT(COUNT(E17:E19))</f>
        <v>0.29929546902313303</v>
      </c>
      <c r="O19" s="6">
        <v>1</v>
      </c>
      <c r="P19">
        <f>O19*N19</f>
        <v>0.29929546902313303</v>
      </c>
      <c r="Q19" s="1">
        <f>AVERAGE($G$17:$G$19)-$P19</f>
        <v>-1.57929546902313</v>
      </c>
      <c r="R19" s="1">
        <f>AVERAGE($G$17:$G$19)+$P19</f>
        <v>-0.98070453097686383</v>
      </c>
      <c r="S19" s="9">
        <f>2^Q19</f>
        <v>0.33464527069637123</v>
      </c>
      <c r="T19" s="9">
        <f>2^R19</f>
        <v>0.50673221999547757</v>
      </c>
      <c r="U19" s="11" t="s">
        <v>35</v>
      </c>
    </row>
    <row r="21" spans="1:21" x14ac:dyDescent="0.2">
      <c r="O21" t="s">
        <v>34</v>
      </c>
      <c r="Q21" s="1"/>
      <c r="R21" s="1"/>
      <c r="S21" s="5"/>
      <c r="T21" s="5"/>
    </row>
    <row r="22" spans="1:21" x14ac:dyDescent="0.2">
      <c r="O22">
        <f>_xlfn.T.INV.2T(0.05,COUNT(F14:F16)-1)</f>
        <v>4.3026527297494637</v>
      </c>
      <c r="P22">
        <f>O22*N18</f>
        <v>0.68696626523625559</v>
      </c>
      <c r="Q22" s="1">
        <f>AVERAGE($G$14:$G$16)-$P22</f>
        <v>-0.68696626523625381</v>
      </c>
      <c r="R22" s="1">
        <f>AVERAGE($G$14:$G$16)+$P22</f>
        <v>0.68696626523625737</v>
      </c>
      <c r="S22" s="10">
        <f>2^Q22</f>
        <v>0.62115866537261266</v>
      </c>
      <c r="T22" s="10">
        <f>2^R22</f>
        <v>1.6098946303842279</v>
      </c>
    </row>
    <row r="23" spans="1:21" x14ac:dyDescent="0.2">
      <c r="O23">
        <f>_xlfn.T.INV.2T(0.05,COUNT(F17:F19)-1)</f>
        <v>4.3026527297494637</v>
      </c>
      <c r="P23">
        <f>O23*N19</f>
        <v>1.2877644667940293</v>
      </c>
      <c r="Q23" s="1">
        <f>AVERAGE($G$17:$G$19)-$P23</f>
        <v>-2.567764466794026</v>
      </c>
      <c r="R23" s="1">
        <f>AVERAGE($G$17:$G$19)+$P23</f>
        <v>7.7644667940324208E-3</v>
      </c>
      <c r="S23" s="10">
        <f>2^Q23</f>
        <v>0.16866535071127373</v>
      </c>
      <c r="T23" s="10">
        <f>2^R23</f>
        <v>1.0053964268051954</v>
      </c>
    </row>
    <row r="25" spans="1:21" x14ac:dyDescent="0.2">
      <c r="G25" s="8"/>
    </row>
    <row r="26" spans="1:21" x14ac:dyDescent="0.2">
      <c r="G26" s="8"/>
    </row>
    <row r="31" spans="1:21" x14ac:dyDescent="0.2">
      <c r="H3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taylor_et_al_2019_WithEff_1ref</vt:lpstr>
      <vt:lpstr>taylor_et_al_2019_withEff.</vt:lpstr>
      <vt:lpstr>taylor_et_al_2019</vt:lpstr>
      <vt:lpstr>Statistics</vt:lpstr>
      <vt:lpstr>error_propagation_mahmoud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qPCR_Taylor_et_al_2019</dc:title>
  <dc:creator>Leonardo Mendes-Silva</dc:creator>
  <cp:keywords>qPCr, template</cp:keywords>
  <cp:lastModifiedBy>Leonardo Mendes-Silva</cp:lastModifiedBy>
  <dcterms:created xsi:type="dcterms:W3CDTF">2019-09-21T21:40:49Z</dcterms:created>
  <dcterms:modified xsi:type="dcterms:W3CDTF">2020-08-27T17:34:42Z</dcterms:modified>
</cp:coreProperties>
</file>