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1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47490093-A1A6-471B-8F35-404E3B7CDC4F}" xr6:coauthVersionLast="47" xr6:coauthVersionMax="47" xr10:uidLastSave="{00000000-0000-0000-0000-000000000000}"/>
  <bookViews>
    <workbookView xWindow="-110" yWindow="-110" windowWidth="38620" windowHeight="21220" activeTab="3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1" l="1"/>
  <c r="D31" i="1"/>
  <c r="H49" i="1" l="1"/>
  <c r="H46" i="1" l="1"/>
  <c r="D20" i="1" l="1"/>
  <c r="D30" i="1" s="1"/>
  <c r="E29" i="1" l="1"/>
  <c r="D32" i="1"/>
  <c r="E31" i="1" s="1"/>
  <c r="G21" i="6"/>
  <c r="G26" i="6" s="1"/>
  <c r="G20" i="6"/>
  <c r="G19" i="6"/>
  <c r="G49" i="1" l="1"/>
  <c r="I43" i="1" l="1"/>
  <c r="I60" i="1"/>
  <c r="J60" i="1" s="1"/>
  <c r="I47" i="1"/>
  <c r="I48" i="1" s="1"/>
  <c r="I50" i="1"/>
  <c r="I61" i="1" l="1"/>
  <c r="I44" i="1"/>
  <c r="D34" i="1" s="1"/>
  <c r="I51" i="1"/>
  <c r="I59" i="1"/>
  <c r="D29" i="1" l="1"/>
  <c r="I8" i="1" s="1"/>
  <c r="F43" i="1"/>
  <c r="G43" i="1" s="1"/>
  <c r="G7" i="6" l="1"/>
  <c r="G6" i="6"/>
  <c r="G5" i="6"/>
  <c r="I9" i="1"/>
  <c r="I10" i="1" s="1"/>
  <c r="E58" i="1"/>
  <c r="E52" i="1"/>
  <c r="D9" i="1"/>
  <c r="D11" i="1" s="1"/>
  <c r="E34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E53" i="1" l="1"/>
  <c r="E54" i="1" s="1"/>
  <c r="F44" i="1" l="1"/>
  <c r="G44" i="1" s="1"/>
  <c r="F42" i="1"/>
  <c r="G42" i="1" s="1"/>
  <c r="D35" i="1" l="1"/>
  <c r="E49" i="1"/>
  <c r="F52" i="1" s="1"/>
  <c r="J8" i="1" s="1"/>
  <c r="G53" i="1"/>
  <c r="F45" i="1"/>
  <c r="G45" i="1" s="1"/>
  <c r="G48" i="1" l="1"/>
  <c r="I62" i="1" s="1"/>
  <c r="G46" i="1"/>
  <c r="F58" i="1"/>
  <c r="E48" i="1"/>
  <c r="E57" i="1"/>
  <c r="F53" i="1" s="1"/>
  <c r="E56" i="1"/>
  <c r="D36" i="1" l="1"/>
  <c r="F54" i="1"/>
  <c r="J10" i="1" s="1"/>
  <c r="J9" i="1"/>
  <c r="F30" i="1"/>
  <c r="E37" i="1" l="1"/>
  <c r="H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<sst xmlns="http://schemas.openxmlformats.org/spreadsheetml/2006/main" count="346" uniqueCount="197">
  <si>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</si>
  <si>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</si>
  <si>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</si>
  <si>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</si>
  <si>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</si>
  <si>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</si>
  <si>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</si>
  <si>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</si>
  <si>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</si>
  <si>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</si>
  <si>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</si>
  <si>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</si>
  <si>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</si>
  <si>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</si>
  <si>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</si>
  <si>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</si>
  <si>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</si>
  <si>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</si>
  <si>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</si>
  <si>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</si>
  <si>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</si>
  <si>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</si>
  <si>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</si>
  <si>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</si>
  <si>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</si>
  <si>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</si>
  <si>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</si>
  <si>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</si>
  <si>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</si>
  <si>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</si>
  <si>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</si>
  <si>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</si>
  <si>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</si>
  <si>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</si>
  <si>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</si>
  <si>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</si>
  <si>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</si>
  <si>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</si>
  <si>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</si>
  <si>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</si>
  <si>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</si>
  <si>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</si>
  <si>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</si>
  <si>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</si>
  <si>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</si>
  <si>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</si>
  <si>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</si>
  <si>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</si>
  <si>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</si>
  <si>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</si>
  <si>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</si>
  <si>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</si>
  <si>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</si>
  <si>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</si>
  <si>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</si>
  <si>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</si>
  <si>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</si>
  <si>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</si>
  <si>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</si>
  <si>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</si>
  <si>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</si>
  <si>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</si>
  <si>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</si>
  <si>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</si>
  <si>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</si>
  <si>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</si>
  <si>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</si>
  <si>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</si>
  <si>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</si>
  <si>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</si>
  <si>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</si>
  <si>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</si>
  <si>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</si>
  <si>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</si>
  <si>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</si>
  <si>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</si>
  <si>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</si>
  <si>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</si>
  <si>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</si>
  <si>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</si>
  <si>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</si>
  <si>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</si>
  <si>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</si>
  <si>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</si>
  <si>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</si>
  <si>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</si>
  <si>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</si>
  <si>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</si>
  <si>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</si>
  <si>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</si>
  <si>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</si>
  <si>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</si>
  <si>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</si>
  <si>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</si>
  <si>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</si>
  <si>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</si>
  <si>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</si>
  <si>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</si>
  <si>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</si>
  <si>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</si>
  <si>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</si>
  <si>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tube per NTC (µL)</t>
  </si>
  <si>
    <t>total volume mix (uL)</t>
  </si>
  <si>
    <t>mix volume -template (uL)</t>
  </si>
  <si>
    <t>volume check per gene per biogroup (µL)</t>
  </si>
  <si>
    <t>no. NAC wells</t>
  </si>
  <si>
    <t>total volume check (µL)</t>
  </si>
  <si>
    <t>only change to &gt;1 if the cell above also is &gt;1, or if you consider extra wells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</si>
  <si>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</si>
  <si>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</si>
  <si>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</si>
  <si>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</si>
  <si>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</si>
  <si>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</si>
  <si>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</si>
  <si>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</si>
  <si>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</si>
  <si>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</si>
  <si>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</si>
  <si>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</si>
  <si>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</si>
  <si>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</si>
  <si>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</si>
  <si>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</si>
  <si>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</si>
  <si>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time points -- individuals -- targets</t>
  </si>
  <si>
    <t>total sso fast EvaGreen (µL)</t>
  </si>
  <si>
    <t>reference gene(s) e.g. gapdh, hrp, negative/postive locus</t>
  </si>
  <si>
    <r>
      <t xml:space="preserve">Tubes to prepare per gene </t>
    </r>
    <r>
      <rPr>
        <sz val="11"/>
        <color theme="1"/>
        <rFont val="Helvetica LT Std"/>
        <family val="2"/>
      </rPr>
      <t>(1 tubes is for no. replicates == no. of wells)</t>
    </r>
  </si>
  <si>
    <t>no. NTC well(s) per gene</t>
  </si>
  <si>
    <t>no. NRT well(s)</t>
  </si>
  <si>
    <t>extra volume (extra well or NAC)</t>
  </si>
  <si>
    <t>user</t>
  </si>
  <si>
    <t>target</t>
  </si>
  <si>
    <t>sample#1</t>
  </si>
  <si>
    <t>sample#2</t>
  </si>
  <si>
    <t>sample#3</t>
  </si>
  <si>
    <t>sample#4</t>
  </si>
  <si>
    <t>sample#5</t>
  </si>
  <si>
    <t>sample#6</t>
  </si>
  <si>
    <t>gene#1</t>
  </si>
  <si>
    <t>gene#2</t>
  </si>
  <si>
    <t>gene#3</t>
  </si>
  <si>
    <t>gene#4</t>
  </si>
  <si>
    <t>gene#5</t>
  </si>
  <si>
    <t>gene#6</t>
  </si>
  <si>
    <t>gene#7</t>
  </si>
  <si>
    <t>NTC</t>
  </si>
  <si>
    <t>well</t>
  </si>
  <si>
    <t>biological_replicate</t>
  </si>
  <si>
    <t>sample_group</t>
  </si>
  <si>
    <t>input</t>
  </si>
  <si>
    <t>QC_test</t>
  </si>
  <si>
    <t>QC_reason</t>
  </si>
  <si>
    <t>QC_parameter_setting</t>
  </si>
  <si>
    <t>treatment</t>
  </si>
  <si>
    <t>biological_group_label</t>
  </si>
  <si>
    <t>sample#7</t>
  </si>
  <si>
    <t>sample#8</t>
  </si>
  <si>
    <t>sample#9</t>
  </si>
  <si>
    <t>sample#10</t>
  </si>
  <si>
    <t>sample#11</t>
  </si>
  <si>
    <t>sample#12</t>
  </si>
  <si>
    <t>gene#8</t>
  </si>
  <si>
    <t>gene#9</t>
  </si>
  <si>
    <t>gene#10</t>
  </si>
  <si>
    <t>gene#11</t>
  </si>
  <si>
    <t>gene#12</t>
  </si>
  <si>
    <t>A</t>
  </si>
  <si>
    <t>B</t>
  </si>
  <si>
    <t>C</t>
  </si>
  <si>
    <t>D</t>
  </si>
  <si>
    <t>E</t>
  </si>
  <si>
    <t>F</t>
  </si>
  <si>
    <t>G</t>
  </si>
  <si>
    <t>H</t>
  </si>
  <si>
    <t>ChIP</t>
  </si>
  <si>
    <t>labels</t>
  </si>
  <si>
    <t>colour key:</t>
  </si>
  <si>
    <t>standard/default editable</t>
  </si>
  <si>
    <t>no. individuals -- ChIP targets</t>
  </si>
  <si>
    <t>number of individuals, or IP sample_groups (input, mock, target IP)</t>
  </si>
  <si>
    <t>number of time points to study</t>
  </si>
  <si>
    <t>total template DNA needed per replicate (µL)</t>
  </si>
  <si>
    <t>I</t>
  </si>
  <si>
    <t>J</t>
  </si>
  <si>
    <t>K</t>
  </si>
  <si>
    <t>L</t>
  </si>
  <si>
    <t>M</t>
  </si>
  <si>
    <t>N</t>
  </si>
  <si>
    <t>O</t>
  </si>
  <si>
    <t>P</t>
  </si>
  <si>
    <t>…</t>
  </si>
  <si>
    <t>no. time points -- individuals -- subjects</t>
  </si>
  <si>
    <t>x</t>
  </si>
  <si>
    <t>alternative to excess factor if set to 1 or to fix number of wells if a sample is missing</t>
  </si>
  <si>
    <t>no. excess(+) or removed wells 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</si>
</sst>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3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0" fillId="0" borderId="0" xfId="0" applyFont="1" applyAlignment="1">
      <alignment horizontal="center" vertical="center"/>
    </xf>
    <xf numFmtId="0" fontId="4" fillId="3" borderId="0" xfId="3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27</xdr:row>
      <xdr:rowOff>123825</xdr:rowOff>
    </xdr:from>
    <xdr:to>
      <xdr:col>20</xdr:col>
      <xdr:colOff>571501</xdr:colOff>
      <xdr:row>69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2"/>
  <sheetViews>
    <sheetView topLeftCell="A13" zoomScale="85" zoomScaleNormal="85" workbookViewId="0">
      <selection activeCell="H34" sqref="H34"/>
    </sheetView>
  </sheetViews>
  <sheetFormatPr defaultRowHeight="14" x14ac:dyDescent="0.3"/>
  <cols>
    <col min="2" max="2" width="24.75" bestFit="1" customWidth="1"/>
    <col min="3" max="3" width="38.9140625" bestFit="1" customWidth="1"/>
    <col min="4" max="4" width="27.08203125" bestFit="1" customWidth="1"/>
    <col min="5" max="5" width="20.75" bestFit="1" customWidth="1"/>
    <col min="6" max="6" width="22.08203125" bestFit="1" customWidth="1"/>
    <col min="7" max="7" width="21" customWidth="1"/>
    <col min="8" max="8" width="27" bestFit="1" customWidth="1"/>
    <col min="9" max="9" width="29.08203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3">
      <c r="A1" t="s">
        <v>16</v>
      </c>
      <c r="B1" s="44">
        <v>96</v>
      </c>
      <c r="C1" s="2" t="s">
        <v>178</v>
      </c>
      <c r="D1" s="17" t="s">
        <v>66</v>
      </c>
      <c r="E1" s="18" t="s">
        <v>67</v>
      </c>
      <c r="F1" s="22" t="s">
        <v>179</v>
      </c>
    </row>
    <row r="3" spans="1:11" x14ac:dyDescent="0.3">
      <c r="B3" s="4" t="s">
        <v>64</v>
      </c>
      <c r="C3" s="47"/>
      <c r="D3" s="47"/>
      <c r="E3" s="47"/>
      <c r="F3" s="47"/>
      <c r="G3" s="47"/>
      <c r="H3" s="47"/>
      <c r="I3" s="47"/>
      <c r="J3" s="47"/>
    </row>
    <row r="4" spans="1:11" x14ac:dyDescent="0.3">
      <c r="B4" s="4" t="s">
        <v>78</v>
      </c>
      <c r="C4" s="47"/>
      <c r="D4" s="47"/>
      <c r="E4" s="47"/>
      <c r="F4" s="47"/>
      <c r="G4" s="47"/>
      <c r="H4" s="47"/>
      <c r="I4" s="47"/>
      <c r="J4" s="47"/>
    </row>
    <row r="5" spans="1:11" x14ac:dyDescent="0.3">
      <c r="A5" s="45" t="s">
        <v>125</v>
      </c>
      <c r="B5" s="45"/>
      <c r="C5" s="47"/>
      <c r="D5" s="47"/>
      <c r="E5" s="47"/>
      <c r="F5" s="47"/>
      <c r="G5" s="47"/>
      <c r="H5" s="47"/>
      <c r="I5" s="47"/>
      <c r="J5" s="47"/>
    </row>
    <row r="7" spans="1:11" x14ac:dyDescent="0.3">
      <c r="B7" s="4" t="s">
        <v>13</v>
      </c>
      <c r="H7" s="48" t="s">
        <v>73</v>
      </c>
      <c r="I7" s="48"/>
      <c r="J7" s="28" t="s">
        <v>76</v>
      </c>
      <c r="K7" s="29"/>
    </row>
    <row r="8" spans="1:11" x14ac:dyDescent="0.3">
      <c r="C8" t="s">
        <v>83</v>
      </c>
      <c r="D8" s="16">
        <v>1000</v>
      </c>
      <c r="E8" s="3" t="s">
        <v>14</v>
      </c>
      <c r="H8" t="s">
        <v>45</v>
      </c>
      <c r="I8" s="41">
        <f>ROUND(D29*D13,0)</f>
        <v>9</v>
      </c>
      <c r="J8" s="3">
        <f>F52</f>
        <v>75.599999999999994</v>
      </c>
    </row>
    <row r="9" spans="1:11" x14ac:dyDescent="0.3">
      <c r="C9" t="s">
        <v>85</v>
      </c>
      <c r="D9" s="23">
        <f>$D$8/20</f>
        <v>50</v>
      </c>
      <c r="E9" s="6" t="s">
        <v>42</v>
      </c>
      <c r="H9" t="s">
        <v>124</v>
      </c>
      <c r="I9" s="42">
        <f>$I$8/$D$10</f>
        <v>3</v>
      </c>
      <c r="J9" s="11">
        <f>F53</f>
        <v>6.3</v>
      </c>
    </row>
    <row r="10" spans="1:11" x14ac:dyDescent="0.3">
      <c r="C10" t="s">
        <v>11</v>
      </c>
      <c r="D10" s="16">
        <v>3</v>
      </c>
      <c r="E10" s="3" t="s">
        <v>17</v>
      </c>
      <c r="H10" t="s">
        <v>86</v>
      </c>
      <c r="I10" s="42">
        <f>$I$8-$I$9</f>
        <v>6</v>
      </c>
      <c r="J10" s="11">
        <f>F54</f>
        <v>69.3</v>
      </c>
    </row>
    <row r="11" spans="1:11" x14ac:dyDescent="0.3">
      <c r="C11" t="s">
        <v>84</v>
      </c>
      <c r="D11" s="9">
        <f>$F$46*($D$9/$D$10)</f>
        <v>33.333333333333336</v>
      </c>
      <c r="E11" s="3" t="s">
        <v>38</v>
      </c>
      <c r="H11" s="49" t="str">
        <f>_xlfn.CONCAT("min. vol. needed per gene per biogroup per time point ",ROUNDUP(D34,2)," uL")</f>
        <v>min. vol. needed per gene per biogroup per time point 12.6 uL</v>
      </c>
      <c r="I11" s="49"/>
      <c r="J11" s="21"/>
    </row>
    <row r="12" spans="1:11" x14ac:dyDescent="0.3">
      <c r="C12" t="s">
        <v>81</v>
      </c>
      <c r="D12" s="16">
        <v>1.05</v>
      </c>
      <c r="E12" s="3" t="s">
        <v>18</v>
      </c>
      <c r="I12">
        <v>1.2</v>
      </c>
    </row>
    <row r="13" spans="1:11" x14ac:dyDescent="0.3">
      <c r="C13" t="s">
        <v>82</v>
      </c>
      <c r="D13" s="16">
        <v>1.05</v>
      </c>
      <c r="E13" s="3" t="s">
        <v>107</v>
      </c>
      <c r="I13">
        <v>1.05</v>
      </c>
    </row>
    <row r="15" spans="1:11" x14ac:dyDescent="0.3">
      <c r="B15" s="4" t="s">
        <v>15</v>
      </c>
      <c r="C15" t="s">
        <v>2</v>
      </c>
      <c r="D15" s="16">
        <v>2</v>
      </c>
      <c r="E15" s="3" t="s">
        <v>65</v>
      </c>
    </row>
    <row r="16" spans="1:11" x14ac:dyDescent="0.3">
      <c r="B16" s="4"/>
      <c r="C16" t="s">
        <v>193</v>
      </c>
      <c r="D16" s="16">
        <v>1</v>
      </c>
      <c r="E16" s="3" t="s">
        <v>182</v>
      </c>
    </row>
    <row r="17" spans="2:6" x14ac:dyDescent="0.3">
      <c r="B17" s="4"/>
      <c r="C17" t="s">
        <v>180</v>
      </c>
      <c r="D17" s="16">
        <v>1</v>
      </c>
      <c r="E17" s="3" t="s">
        <v>181</v>
      </c>
    </row>
    <row r="18" spans="2:6" x14ac:dyDescent="0.3">
      <c r="C18" t="s">
        <v>49</v>
      </c>
      <c r="D18" s="16">
        <v>3</v>
      </c>
      <c r="E18" s="3" t="s">
        <v>69</v>
      </c>
    </row>
    <row r="19" spans="2:6" x14ac:dyDescent="0.3">
      <c r="C19" t="s">
        <v>47</v>
      </c>
      <c r="D19" s="16">
        <v>2</v>
      </c>
      <c r="E19" s="3" t="s">
        <v>48</v>
      </c>
    </row>
    <row r="20" spans="2:6" x14ac:dyDescent="0.3">
      <c r="C20" t="s">
        <v>3</v>
      </c>
      <c r="D20" s="1">
        <f>SUM(D21:D22)</f>
        <v>2</v>
      </c>
      <c r="E20" s="3" t="s">
        <v>26</v>
      </c>
    </row>
    <row r="21" spans="2:6" x14ac:dyDescent="0.3">
      <c r="C21" s="2" t="s">
        <v>24</v>
      </c>
      <c r="D21" s="16">
        <v>1</v>
      </c>
      <c r="E21" s="3" t="s">
        <v>27</v>
      </c>
    </row>
    <row r="22" spans="2:6" x14ac:dyDescent="0.3">
      <c r="C22" s="2" t="s">
        <v>25</v>
      </c>
      <c r="D22" s="16">
        <v>1</v>
      </c>
      <c r="E22" s="3" t="s">
        <v>127</v>
      </c>
    </row>
    <row r="23" spans="2:6" x14ac:dyDescent="0.3">
      <c r="C23" t="s">
        <v>129</v>
      </c>
      <c r="D23" s="16">
        <v>2</v>
      </c>
      <c r="E23" s="3" t="s">
        <v>22</v>
      </c>
    </row>
    <row r="24" spans="2:6" x14ac:dyDescent="0.3">
      <c r="C24" t="s">
        <v>130</v>
      </c>
      <c r="D24" s="16">
        <v>0</v>
      </c>
      <c r="E24" s="3" t="s">
        <v>68</v>
      </c>
    </row>
    <row r="25" spans="2:6" x14ac:dyDescent="0.3">
      <c r="C25" t="s">
        <v>5</v>
      </c>
      <c r="D25" s="16">
        <v>1</v>
      </c>
      <c r="E25" s="3" t="s">
        <v>72</v>
      </c>
    </row>
    <row r="26" spans="2:6" x14ac:dyDescent="0.3">
      <c r="C26" t="s">
        <v>196</v>
      </c>
      <c r="D26" s="16">
        <v>0</v>
      </c>
      <c r="E26" s="3" t="s">
        <v>195</v>
      </c>
    </row>
    <row r="27" spans="2:6" x14ac:dyDescent="0.3">
      <c r="C27" t="s">
        <v>105</v>
      </c>
      <c r="D27" s="16">
        <v>0</v>
      </c>
      <c r="E27" s="3" t="s">
        <v>23</v>
      </c>
    </row>
    <row r="28" spans="2:6" x14ac:dyDescent="0.3">
      <c r="E28" s="3"/>
    </row>
    <row r="29" spans="2:6" x14ac:dyDescent="0.3">
      <c r="C29" s="4" t="s">
        <v>97</v>
      </c>
      <c r="D29" s="34">
        <f>I44*D20</f>
        <v>8.4</v>
      </c>
      <c r="E29" s="3" t="str">
        <f>_xlfn.CONCAT("considering the ",D20," genes, for each biological_replicate (total of ",D18,"), and  technical_replicates (total of ", D19, ")")</f>
        <v>considering the 2 genes, for each biological_replicate (total of 3), and  technical_replicates (total of 2)</v>
      </c>
    </row>
    <row r="30" spans="2:6" x14ac:dyDescent="0.3">
      <c r="C30" t="s">
        <v>4</v>
      </c>
      <c r="D30" s="1">
        <f>(((D15*D16*D17)*D18)*D20*D19+D23*D20+D24*D20)*D25</f>
        <v>28</v>
      </c>
      <c r="E30" s="2" t="s">
        <v>12</v>
      </c>
      <c r="F30">
        <f>$B$1-D30</f>
        <v>68</v>
      </c>
    </row>
    <row r="31" spans="2:6" x14ac:dyDescent="0.3">
      <c r="C31" t="s">
        <v>79</v>
      </c>
      <c r="D31" s="1">
        <f>(D15*D18*D19)*D25*D16*D17+(D23)+(D24*D15*D16*D17*D18)+(D24*D15*D16*D17*D18)</f>
        <v>14</v>
      </c>
      <c r="E31" s="3" t="str">
        <f>_xlfn.CONCAT(D32, " replicates with + ",D23," NTC"," + ",D24*D15*D16*D17*D18, " NRT", " + ",D26, " extra well")</f>
        <v>12 replicates with + 2 NTC + 0 NRT + 0 extra well</v>
      </c>
    </row>
    <row r="32" spans="2:6" x14ac:dyDescent="0.3">
      <c r="C32" t="s">
        <v>80</v>
      </c>
      <c r="D32" s="1">
        <f>D18*D19*D20*D25*D16*D17+D24*D15*D16*D18</f>
        <v>12</v>
      </c>
      <c r="F32" s="10"/>
    </row>
    <row r="33" spans="3:15" x14ac:dyDescent="0.3">
      <c r="F33" s="10"/>
    </row>
    <row r="34" spans="3:15" x14ac:dyDescent="0.3">
      <c r="C34" t="s">
        <v>183</v>
      </c>
      <c r="D34" s="5">
        <f>I44*D18</f>
        <v>12.600000000000001</v>
      </c>
      <c r="E34" s="3" t="str">
        <f>_xlfn.CONCAT("considering the dilution 1:x, where x=",D10)</f>
        <v>considering the dilution 1:x, where x=3</v>
      </c>
    </row>
    <row r="35" spans="3:15" x14ac:dyDescent="0.3">
      <c r="C35" t="s">
        <v>126</v>
      </c>
      <c r="D35" s="1">
        <f>G42*D20</f>
        <v>294</v>
      </c>
    </row>
    <row r="36" spans="3:15" x14ac:dyDescent="0.3">
      <c r="C36" t="s">
        <v>87</v>
      </c>
      <c r="D36" s="1">
        <f>G45*D20</f>
        <v>188.15999999999997</v>
      </c>
    </row>
    <row r="37" spans="3:15" x14ac:dyDescent="0.3">
      <c r="D37" t="s">
        <v>88</v>
      </c>
      <c r="E37" s="1">
        <f>D36+D35</f>
        <v>482.15999999999997</v>
      </c>
    </row>
    <row r="39" spans="3:15" x14ac:dyDescent="0.3">
      <c r="C39" s="35"/>
      <c r="D39" s="35"/>
      <c r="E39" s="35"/>
      <c r="F39" s="35"/>
      <c r="G39" s="35"/>
      <c r="H39" s="35"/>
    </row>
    <row r="40" spans="3:15" x14ac:dyDescent="0.3">
      <c r="C40" s="45" t="s">
        <v>70</v>
      </c>
      <c r="D40" s="45"/>
      <c r="E40" s="45"/>
      <c r="F40" s="45"/>
      <c r="G40" s="45" t="s">
        <v>128</v>
      </c>
      <c r="H40" s="45"/>
      <c r="I40" s="45"/>
    </row>
    <row r="41" spans="3:15" x14ac:dyDescent="0.3">
      <c r="D41" s="13" t="s">
        <v>6</v>
      </c>
      <c r="E41" s="13" t="s">
        <v>7</v>
      </c>
      <c r="F41" s="13" t="s">
        <v>92</v>
      </c>
      <c r="G41" s="13" t="s">
        <v>93</v>
      </c>
      <c r="H41" s="31"/>
    </row>
    <row r="42" spans="3:15" x14ac:dyDescent="0.3">
      <c r="C42" s="2" t="s">
        <v>0</v>
      </c>
      <c r="D42" s="19">
        <v>2</v>
      </c>
      <c r="E42" s="19">
        <v>1</v>
      </c>
      <c r="F42" s="1">
        <f>(E42*$F$47)/$D42</f>
        <v>10</v>
      </c>
      <c r="G42" s="7">
        <f>(F42*($D$31+$D$27+$D$26))*$D$12</f>
        <v>147</v>
      </c>
      <c r="H42" s="33" t="str">
        <f>_xlfn.CONCAT("»» split in ", D15*D17*D18*D16*D25," tube(s)", " »»")</f>
        <v>»» split in 6 tube(s) »»</v>
      </c>
      <c r="I42" s="39" t="s">
        <v>94</v>
      </c>
    </row>
    <row r="43" spans="3:15" x14ac:dyDescent="0.3">
      <c r="C43" s="2" t="s">
        <v>89</v>
      </c>
      <c r="D43" s="19">
        <v>10</v>
      </c>
      <c r="E43" s="19">
        <v>0.4</v>
      </c>
      <c r="F43" s="1">
        <f>(E43*$F$47)/$D43</f>
        <v>0.8</v>
      </c>
      <c r="G43" s="7">
        <f>(F43*($D$31+$D$27+$D$26))*$D$12</f>
        <v>11.760000000000002</v>
      </c>
      <c r="I43" s="40">
        <f>(G49*D19*D13)</f>
        <v>37.800000000000004</v>
      </c>
    </row>
    <row r="44" spans="3:15" x14ac:dyDescent="0.3">
      <c r="C44" s="2" t="s">
        <v>90</v>
      </c>
      <c r="D44" s="19">
        <v>10</v>
      </c>
      <c r="E44" s="19">
        <v>0.4</v>
      </c>
      <c r="F44" s="1">
        <f>(E44*$F$47)/$D44</f>
        <v>0.8</v>
      </c>
      <c r="G44" s="7">
        <f>(F44*($D$31+$D$27+$D$26))*$D$12</f>
        <v>11.760000000000002</v>
      </c>
      <c r="H44" s="2" t="s">
        <v>95</v>
      </c>
      <c r="I44" s="5">
        <f>$F$46*I43/$G$49</f>
        <v>4.2</v>
      </c>
    </row>
    <row r="45" spans="3:15" x14ac:dyDescent="0.3">
      <c r="C45" s="2" t="s">
        <v>1</v>
      </c>
      <c r="D45" s="20" t="s">
        <v>46</v>
      </c>
      <c r="E45" s="20" t="s">
        <v>46</v>
      </c>
      <c r="F45" s="1">
        <f>F47-SUM(F42:F44)-F46</f>
        <v>6.3999999999999986</v>
      </c>
      <c r="G45" s="7">
        <f>(F45*($D$31+$D$27+$D$26))*$D$12</f>
        <v>94.079999999999984</v>
      </c>
    </row>
    <row r="46" spans="3:15" x14ac:dyDescent="0.3">
      <c r="C46" s="2" t="s">
        <v>95</v>
      </c>
      <c r="D46" s="20" t="s">
        <v>46</v>
      </c>
      <c r="E46" s="20" t="s">
        <v>46</v>
      </c>
      <c r="F46" s="17">
        <v>2</v>
      </c>
      <c r="G46" s="3" t="str">
        <f>_xlfn.CONCAT("total volume = ",SUM(G42:G45)," µL")</f>
        <v>total volume = 264.6 µL</v>
      </c>
      <c r="H46" s="33" t="str">
        <f>IF(D23=0,_xlfn.CONCAT("»» split in ", 0," tubes", " »»"),_xlfn.CONCAT("»» split in ",D23/D23," tube(s)", " »»"))</f>
        <v>»» split in 1 tube(s) »»</v>
      </c>
      <c r="I46" s="39" t="s">
        <v>101</v>
      </c>
      <c r="O46" s="7"/>
    </row>
    <row r="47" spans="3:15" x14ac:dyDescent="0.3">
      <c r="E47" t="s">
        <v>8</v>
      </c>
      <c r="F47" s="19">
        <v>20</v>
      </c>
      <c r="I47" s="39">
        <f>($G$49*$D$13)*$D$23</f>
        <v>37.800000000000004</v>
      </c>
    </row>
    <row r="48" spans="3:15" x14ac:dyDescent="0.3">
      <c r="D48" s="3" t="s">
        <v>91</v>
      </c>
      <c r="E48" s="3">
        <f>SUM(F42:F46)</f>
        <v>20</v>
      </c>
      <c r="F48" s="3" t="s">
        <v>102</v>
      </c>
      <c r="G48" s="36">
        <f>SUM(G42:G45)</f>
        <v>264.59999999999997</v>
      </c>
      <c r="H48" s="2" t="s">
        <v>1</v>
      </c>
      <c r="I48">
        <f>$F$46*I47/$G$49</f>
        <v>4.2</v>
      </c>
      <c r="J48" s="32"/>
    </row>
    <row r="49" spans="4:10" x14ac:dyDescent="0.3">
      <c r="D49" s="3" t="s">
        <v>96</v>
      </c>
      <c r="E49" s="3">
        <f>F47-SUM(F42:F44)</f>
        <v>8.3999999999999986</v>
      </c>
      <c r="F49" s="3" t="s">
        <v>103</v>
      </c>
      <c r="G49" s="3">
        <f>F47-F46</f>
        <v>18</v>
      </c>
      <c r="H49" s="33" t="str">
        <f>IF(D24=0,_xlfn.CONCAT("»» split in ", 0," tube(s)", " »»"),_xlfn.CONCAT("»» split in ",(D15*D16*D17*D18)," tubes", " »»"))</f>
        <v>»» split in 0 tube(s) »»</v>
      </c>
      <c r="I49" s="39" t="s">
        <v>98</v>
      </c>
    </row>
    <row r="50" spans="4:10" x14ac:dyDescent="0.3">
      <c r="D50" s="45"/>
      <c r="E50" s="45"/>
      <c r="F50" s="45"/>
      <c r="G50" s="45"/>
      <c r="I50" s="39">
        <f>($D$24*$G$49)*$D$13</f>
        <v>0</v>
      </c>
    </row>
    <row r="51" spans="4:10" hidden="1" x14ac:dyDescent="0.3">
      <c r="D51" s="28"/>
      <c r="E51" s="28"/>
      <c r="F51" s="21" t="s">
        <v>75</v>
      </c>
      <c r="I51" s="1">
        <f>F46*I50/$G$49</f>
        <v>0</v>
      </c>
    </row>
    <row r="52" spans="4:10" hidden="1" x14ac:dyDescent="0.3">
      <c r="D52" s="3" t="s">
        <v>45</v>
      </c>
      <c r="E52" s="24">
        <f>I8</f>
        <v>9</v>
      </c>
      <c r="F52" s="27">
        <f>E52*E49</f>
        <v>75.599999999999994</v>
      </c>
    </row>
    <row r="53" spans="4:10" hidden="1" x14ac:dyDescent="0.3">
      <c r="D53" s="3" t="s">
        <v>43</v>
      </c>
      <c r="E53" s="25">
        <f>E52/E58</f>
        <v>0.9</v>
      </c>
      <c r="F53" s="26">
        <f>$F$52/($D$10*($F$57/$E$57))</f>
        <v>6.3</v>
      </c>
      <c r="G53" s="3" t="str">
        <f>_xlfn.CONCAT("for the max volume of template = ",F47-SUM(F42:F44), " uL")</f>
        <v>for the max volume of template = 8.4 uL</v>
      </c>
    </row>
    <row r="54" spans="4:10" hidden="1" x14ac:dyDescent="0.3">
      <c r="D54" s="3" t="s">
        <v>44</v>
      </c>
      <c r="E54" s="25">
        <f>E52-E53</f>
        <v>8.1</v>
      </c>
      <c r="F54" s="26">
        <f>F52-F53</f>
        <v>69.3</v>
      </c>
    </row>
    <row r="55" spans="4:10" hidden="1" x14ac:dyDescent="0.3">
      <c r="D55" s="3"/>
      <c r="E55" s="21" t="s">
        <v>21</v>
      </c>
      <c r="F55" s="21" t="s">
        <v>71</v>
      </c>
    </row>
    <row r="56" spans="4:10" hidden="1" x14ac:dyDescent="0.3">
      <c r="D56" s="3" t="s">
        <v>20</v>
      </c>
      <c r="E56" s="3">
        <f>SUM(F42:F45)/SUM(F42:F46)*100</f>
        <v>90</v>
      </c>
      <c r="F56" s="3">
        <v>60</v>
      </c>
    </row>
    <row r="57" spans="4:10" hidden="1" x14ac:dyDescent="0.3">
      <c r="D57" s="3" t="s">
        <v>19</v>
      </c>
      <c r="E57" s="3">
        <f>F46/SUM(F42:F46)*100</f>
        <v>10</v>
      </c>
      <c r="F57" s="3">
        <v>40</v>
      </c>
    </row>
    <row r="58" spans="4:10" hidden="1" x14ac:dyDescent="0.3">
      <c r="D58" s="3" t="s">
        <v>74</v>
      </c>
      <c r="E58" s="12">
        <f>1/(SUM(F46)/20)</f>
        <v>10</v>
      </c>
      <c r="F58" s="12">
        <f>1/(SUM(F45:F46)/F47)</f>
        <v>2.3809523809523814</v>
      </c>
    </row>
    <row r="59" spans="4:10" x14ac:dyDescent="0.3">
      <c r="H59" s="2" t="s">
        <v>99</v>
      </c>
      <c r="I59">
        <f>I50*F46/G49</f>
        <v>0</v>
      </c>
    </row>
    <row r="60" spans="4:10" x14ac:dyDescent="0.3">
      <c r="H60" s="2" t="s">
        <v>131</v>
      </c>
      <c r="I60" s="7">
        <f>G49*D13*D26</f>
        <v>0</v>
      </c>
      <c r="J60" s="11" t="str">
        <f>_xlfn.CONCAT("enough for ", I60/(G49*D13), " well(s)")</f>
        <v>enough for 0 well(s)</v>
      </c>
    </row>
    <row r="61" spans="4:10" x14ac:dyDescent="0.3">
      <c r="G61" s="46" t="s">
        <v>104</v>
      </c>
      <c r="H61" s="46"/>
      <c r="I61" s="11">
        <f>I43*(D15*D18*D16*D17*D25)+I47*(D23/D23)+I50*(D15*D16*D17*D18)+I60</f>
        <v>264.60000000000002</v>
      </c>
    </row>
    <row r="62" spans="4:10" x14ac:dyDescent="0.3">
      <c r="H62" s="3" t="s">
        <v>106</v>
      </c>
      <c r="I62" s="11">
        <f>G48-I61</f>
        <v>0</v>
      </c>
    </row>
  </sheetData>
  <mergeCells count="10">
    <mergeCell ref="A5:B5"/>
    <mergeCell ref="G61:H61"/>
    <mergeCell ref="C4:J4"/>
    <mergeCell ref="C3:J3"/>
    <mergeCell ref="D50:G50"/>
    <mergeCell ref="H7:I7"/>
    <mergeCell ref="H11:I11"/>
    <mergeCell ref="G40:I40"/>
    <mergeCell ref="C5:J5"/>
    <mergeCell ref="C40:F40"/>
  </mergeCells>
  <phoneticPr fontId="2" type="noConversion"/>
  <conditionalFormatting sqref="E56:F57">
    <cfRule type="duplicateValues" dxfId="2" priority="4"/>
  </conditionalFormatting>
  <conditionalFormatting sqref="E48">
    <cfRule type="cellIs" dxfId="1" priority="2" operator="equal">
      <formula>$F$47</formula>
    </cfRule>
  </conditionalFormatting>
  <conditionalFormatting sqref="I61">
    <cfRule type="cellIs" dxfId="0" priority="1" operator="greaterThan">
      <formula>$G$48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A1:AR31"/>
  <sheetViews>
    <sheetView zoomScale="90" zoomScaleNormal="80" workbookViewId="0">
      <selection activeCell="E16" sqref="E16:F21"/>
    </sheetView>
  </sheetViews>
  <sheetFormatPr defaultRowHeight="14" x14ac:dyDescent="0.3"/>
  <cols>
    <col min="2" max="2" width="14.25" bestFit="1" customWidth="1"/>
    <col min="8" max="8" width="9.08203125" bestFit="1" customWidth="1"/>
    <col min="17" max="17" width="10.08203125" bestFit="1" customWidth="1"/>
    <col min="18" max="18" width="12.5" customWidth="1"/>
    <col min="19" max="19" width="8.75" bestFit="1" customWidth="1"/>
    <col min="20" max="20" width="2.4140625" bestFit="1" customWidth="1"/>
  </cols>
  <sheetData>
    <row r="1" spans="1:44" x14ac:dyDescent="0.3">
      <c r="R1" t="s">
        <v>177</v>
      </c>
    </row>
    <row r="2" spans="1:44" x14ac:dyDescent="0.3">
      <c r="Q2" t="s">
        <v>134</v>
      </c>
    </row>
    <row r="3" spans="1:44" x14ac:dyDescent="0.3">
      <c r="C3" s="13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Q3" t="s">
        <v>135</v>
      </c>
      <c r="U3" t="s">
        <v>140</v>
      </c>
      <c r="V3" t="s">
        <v>140</v>
      </c>
      <c r="W3" t="s">
        <v>192</v>
      </c>
    </row>
    <row r="4" spans="1:44" x14ac:dyDescent="0.3">
      <c r="B4" t="s">
        <v>9</v>
      </c>
      <c r="C4" t="s">
        <v>63</v>
      </c>
      <c r="D4" t="s">
        <v>100</v>
      </c>
      <c r="E4" t="s">
        <v>108</v>
      </c>
      <c r="F4" t="s">
        <v>109</v>
      </c>
      <c r="G4" t="s">
        <v>110</v>
      </c>
      <c r="H4" t="s">
        <v>111</v>
      </c>
      <c r="I4" t="s">
        <v>112</v>
      </c>
      <c r="J4" t="s">
        <v>113</v>
      </c>
      <c r="K4" t="s">
        <v>114</v>
      </c>
      <c r="L4" t="s">
        <v>115</v>
      </c>
      <c r="M4" t="s">
        <v>116</v>
      </c>
      <c r="N4" t="s">
        <v>117</v>
      </c>
      <c r="Q4" t="s">
        <v>136</v>
      </c>
      <c r="U4" s="13">
        <v>1</v>
      </c>
      <c r="V4" s="13">
        <v>2</v>
      </c>
      <c r="W4" s="13">
        <v>3</v>
      </c>
      <c r="X4" s="13">
        <v>4</v>
      </c>
      <c r="Y4" s="13">
        <v>5</v>
      </c>
      <c r="Z4" s="13">
        <v>6</v>
      </c>
      <c r="AA4" s="13">
        <v>7</v>
      </c>
      <c r="AB4" s="13">
        <v>8</v>
      </c>
      <c r="AC4" s="13">
        <v>9</v>
      </c>
      <c r="AD4" s="13">
        <v>10</v>
      </c>
      <c r="AE4" s="13">
        <v>11</v>
      </c>
      <c r="AF4" s="13">
        <v>12</v>
      </c>
      <c r="AG4" s="13">
        <v>13</v>
      </c>
      <c r="AH4" s="13">
        <v>14</v>
      </c>
      <c r="AI4" s="13">
        <v>15</v>
      </c>
      <c r="AJ4" s="13">
        <v>16</v>
      </c>
      <c r="AK4" s="13">
        <v>17</v>
      </c>
      <c r="AL4" s="13">
        <v>18</v>
      </c>
      <c r="AM4" s="13">
        <v>19</v>
      </c>
      <c r="AN4" s="13">
        <v>20</v>
      </c>
      <c r="AO4" s="13">
        <v>21</v>
      </c>
      <c r="AP4" s="13">
        <v>22</v>
      </c>
      <c r="AQ4" s="13">
        <v>23</v>
      </c>
      <c r="AR4" s="13">
        <v>24</v>
      </c>
    </row>
    <row r="5" spans="1:44" x14ac:dyDescent="0.3">
      <c r="A5" s="2" t="s">
        <v>168</v>
      </c>
      <c r="B5" s="2" t="s">
        <v>134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Q5" t="s">
        <v>137</v>
      </c>
      <c r="S5" t="s">
        <v>134</v>
      </c>
      <c r="T5" t="s">
        <v>168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x14ac:dyDescent="0.3">
      <c r="A6" s="2" t="s">
        <v>169</v>
      </c>
      <c r="B6" s="2" t="s">
        <v>134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Q6" t="s">
        <v>138</v>
      </c>
      <c r="T6" t="s">
        <v>169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</row>
    <row r="7" spans="1:44" x14ac:dyDescent="0.3">
      <c r="A7" s="2" t="s">
        <v>170</v>
      </c>
      <c r="B7" s="2" t="s">
        <v>135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Q7" t="s">
        <v>139</v>
      </c>
      <c r="T7" t="s">
        <v>170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</row>
    <row r="8" spans="1:44" x14ac:dyDescent="0.3">
      <c r="A8" s="2" t="s">
        <v>171</v>
      </c>
      <c r="B8" s="2" t="s">
        <v>135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Q8" t="s">
        <v>157</v>
      </c>
      <c r="T8" t="s">
        <v>171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</row>
    <row r="9" spans="1:44" x14ac:dyDescent="0.3">
      <c r="A9" s="2" t="s">
        <v>172</v>
      </c>
      <c r="B9" s="2" t="s">
        <v>136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Q9" t="s">
        <v>158</v>
      </c>
      <c r="T9" t="s">
        <v>172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1:44" x14ac:dyDescent="0.3">
      <c r="A10" s="2" t="s">
        <v>173</v>
      </c>
      <c r="B10" s="2" t="s">
        <v>136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Q10" t="s">
        <v>159</v>
      </c>
      <c r="T10" t="s">
        <v>173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spans="1:44" x14ac:dyDescent="0.3">
      <c r="A11" s="2" t="s">
        <v>174</v>
      </c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Q11" t="s">
        <v>160</v>
      </c>
      <c r="T11" t="s">
        <v>174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</row>
    <row r="12" spans="1:44" x14ac:dyDescent="0.3">
      <c r="A12" s="2" t="s">
        <v>175</v>
      </c>
      <c r="B12" s="2" t="s">
        <v>147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Q12" t="s">
        <v>161</v>
      </c>
      <c r="T12" t="s">
        <v>175</v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</row>
    <row r="13" spans="1:44" x14ac:dyDescent="0.3">
      <c r="Q13" t="s">
        <v>162</v>
      </c>
      <c r="T13" t="s">
        <v>184</v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</row>
    <row r="14" spans="1:44" x14ac:dyDescent="0.3">
      <c r="C14" s="13">
        <v>1</v>
      </c>
      <c r="D14" s="13">
        <v>2</v>
      </c>
      <c r="E14" s="13">
        <v>3</v>
      </c>
      <c r="F14" s="13">
        <v>4</v>
      </c>
      <c r="G14" s="13">
        <v>5</v>
      </c>
      <c r="H14" s="13">
        <v>6</v>
      </c>
      <c r="I14" s="13">
        <v>7</v>
      </c>
      <c r="J14" s="13">
        <v>8</v>
      </c>
      <c r="K14" s="13">
        <v>9</v>
      </c>
      <c r="L14" s="13">
        <v>10</v>
      </c>
      <c r="M14" s="13">
        <v>11</v>
      </c>
      <c r="N14" s="13">
        <v>12</v>
      </c>
      <c r="Q14" t="s">
        <v>140</v>
      </c>
      <c r="T14" t="s">
        <v>185</v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spans="1:44" x14ac:dyDescent="0.3">
      <c r="B15" t="s">
        <v>9</v>
      </c>
      <c r="C15" t="s">
        <v>134</v>
      </c>
      <c r="D15" t="s">
        <v>134</v>
      </c>
      <c r="E15" t="s">
        <v>135</v>
      </c>
      <c r="F15" t="s">
        <v>135</v>
      </c>
      <c r="G15" t="s">
        <v>136</v>
      </c>
      <c r="H15" t="s">
        <v>136</v>
      </c>
      <c r="I15" t="s">
        <v>137</v>
      </c>
      <c r="J15" t="s">
        <v>137</v>
      </c>
      <c r="K15" t="s">
        <v>138</v>
      </c>
      <c r="L15" t="s">
        <v>138</v>
      </c>
      <c r="M15" t="s">
        <v>139</v>
      </c>
      <c r="N15" t="s">
        <v>139</v>
      </c>
      <c r="Q15" t="s">
        <v>141</v>
      </c>
      <c r="T15" t="s">
        <v>186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spans="1:44" x14ac:dyDescent="0.3">
      <c r="A16" s="2" t="s">
        <v>168</v>
      </c>
      <c r="B16" s="2" t="s">
        <v>140</v>
      </c>
      <c r="C16" s="1" t="s">
        <v>194</v>
      </c>
      <c r="D16" s="1" t="s">
        <v>194</v>
      </c>
      <c r="E16" s="1" t="s">
        <v>194</v>
      </c>
      <c r="F16" s="1" t="s">
        <v>194</v>
      </c>
      <c r="G16" s="1"/>
      <c r="H16" s="1"/>
      <c r="I16" s="1"/>
      <c r="J16" s="1"/>
      <c r="K16" s="1"/>
      <c r="L16" s="1"/>
      <c r="M16" s="1"/>
      <c r="N16" s="1"/>
      <c r="Q16" t="s">
        <v>142</v>
      </c>
      <c r="T16" t="s">
        <v>187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1:44" x14ac:dyDescent="0.3">
      <c r="A17" s="2" t="s">
        <v>169</v>
      </c>
      <c r="B17" s="2" t="s">
        <v>141</v>
      </c>
      <c r="C17" s="1" t="s">
        <v>194</v>
      </c>
      <c r="D17" s="1" t="s">
        <v>194</v>
      </c>
      <c r="E17" s="1" t="s">
        <v>194</v>
      </c>
      <c r="F17" s="1" t="s">
        <v>194</v>
      </c>
      <c r="G17" s="1"/>
      <c r="H17" s="1"/>
      <c r="I17" s="1"/>
      <c r="J17" s="1"/>
      <c r="K17" s="1"/>
      <c r="L17" s="1"/>
      <c r="M17" s="1"/>
      <c r="N17" s="1"/>
      <c r="Q17" t="s">
        <v>143</v>
      </c>
      <c r="T17" t="s">
        <v>188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spans="1:44" x14ac:dyDescent="0.3">
      <c r="A18" s="2" t="s">
        <v>170</v>
      </c>
      <c r="B18" s="2" t="s">
        <v>142</v>
      </c>
      <c r="C18" s="1" t="s">
        <v>194</v>
      </c>
      <c r="D18" s="1" t="s">
        <v>194</v>
      </c>
      <c r="E18" s="1" t="s">
        <v>194</v>
      </c>
      <c r="F18" s="1" t="s">
        <v>194</v>
      </c>
      <c r="G18" s="1"/>
      <c r="H18" s="1"/>
      <c r="I18" s="1"/>
      <c r="J18" s="1"/>
      <c r="K18" s="1"/>
      <c r="L18" s="1"/>
      <c r="M18" s="1"/>
      <c r="N18" s="1"/>
      <c r="Q18" t="s">
        <v>144</v>
      </c>
      <c r="T18" t="s">
        <v>189</v>
      </c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spans="1:44" x14ac:dyDescent="0.3">
      <c r="A19" s="2" t="s">
        <v>171</v>
      </c>
      <c r="B19" s="2" t="s">
        <v>143</v>
      </c>
      <c r="C19" s="1" t="s">
        <v>194</v>
      </c>
      <c r="D19" s="1" t="s">
        <v>194</v>
      </c>
      <c r="E19" s="1" t="s">
        <v>194</v>
      </c>
      <c r="F19" s="1" t="s">
        <v>194</v>
      </c>
      <c r="G19" s="1"/>
      <c r="H19" s="1"/>
      <c r="I19" s="1"/>
      <c r="J19" s="1"/>
      <c r="K19" s="1"/>
      <c r="L19" s="1"/>
      <c r="M19" s="1"/>
      <c r="N19" s="1"/>
      <c r="Q19" t="s">
        <v>145</v>
      </c>
      <c r="T19" t="s">
        <v>190</v>
      </c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0" spans="1:44" x14ac:dyDescent="0.3">
      <c r="A20" s="2" t="s">
        <v>172</v>
      </c>
      <c r="B20" s="2" t="s">
        <v>144</v>
      </c>
      <c r="C20" s="1" t="s">
        <v>194</v>
      </c>
      <c r="D20" s="1" t="s">
        <v>194</v>
      </c>
      <c r="E20" s="1" t="s">
        <v>194</v>
      </c>
      <c r="F20" s="1" t="s">
        <v>194</v>
      </c>
      <c r="G20" s="1"/>
      <c r="H20" s="1"/>
      <c r="I20" s="1"/>
      <c r="J20" s="1"/>
      <c r="K20" s="1"/>
      <c r="L20" s="1"/>
      <c r="M20" s="1"/>
      <c r="N20" s="1"/>
      <c r="Q20" t="s">
        <v>146</v>
      </c>
      <c r="T20" t="s">
        <v>191</v>
      </c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</row>
    <row r="21" spans="1:44" x14ac:dyDescent="0.3">
      <c r="A21" s="2" t="s">
        <v>173</v>
      </c>
      <c r="B21" s="2" t="s">
        <v>145</v>
      </c>
      <c r="C21" s="1" t="s">
        <v>194</v>
      </c>
      <c r="D21" s="1" t="s">
        <v>194</v>
      </c>
      <c r="E21" s="1" t="s">
        <v>194</v>
      </c>
      <c r="F21" s="1" t="s">
        <v>194</v>
      </c>
      <c r="G21" s="1"/>
      <c r="H21" s="1"/>
      <c r="I21" s="1"/>
      <c r="J21" s="1"/>
      <c r="K21" s="1"/>
      <c r="L21" s="1"/>
      <c r="M21" s="1"/>
      <c r="N21" s="1"/>
      <c r="Q21" t="s">
        <v>163</v>
      </c>
    </row>
    <row r="22" spans="1:44" x14ac:dyDescent="0.3">
      <c r="A22" s="2" t="s">
        <v>174</v>
      </c>
      <c r="B22" s="2" t="s">
        <v>146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Q22" t="s">
        <v>164</v>
      </c>
    </row>
    <row r="23" spans="1:44" x14ac:dyDescent="0.3">
      <c r="A23" s="2" t="s">
        <v>175</v>
      </c>
      <c r="B23" s="2" t="s">
        <v>147</v>
      </c>
      <c r="C23" s="1" t="s">
        <v>194</v>
      </c>
      <c r="D23" s="1" t="s">
        <v>194</v>
      </c>
      <c r="E23" s="1" t="s">
        <v>194</v>
      </c>
      <c r="F23" s="1" t="s">
        <v>194</v>
      </c>
      <c r="G23" s="1"/>
      <c r="H23" s="1"/>
      <c r="I23" s="1"/>
      <c r="J23" s="1"/>
      <c r="K23" s="1"/>
      <c r="L23" s="1"/>
      <c r="M23" s="1"/>
      <c r="N23" s="1"/>
      <c r="Q23" t="s">
        <v>165</v>
      </c>
    </row>
    <row r="24" spans="1:44" x14ac:dyDescent="0.3">
      <c r="Q24" t="s">
        <v>166</v>
      </c>
    </row>
    <row r="25" spans="1:44" x14ac:dyDescent="0.3">
      <c r="Q25" t="s">
        <v>167</v>
      </c>
    </row>
    <row r="27" spans="1:44" x14ac:dyDescent="0.3">
      <c r="E27" s="50" t="s">
        <v>118</v>
      </c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</row>
    <row r="30" spans="1:44" x14ac:dyDescent="0.3">
      <c r="F30" t="s">
        <v>119</v>
      </c>
    </row>
    <row r="31" spans="1:44" x14ac:dyDescent="0.3">
      <c r="F31" t="s">
        <v>120</v>
      </c>
    </row>
  </sheetData>
  <mergeCells count="1">
    <mergeCell ref="E27:Z27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" x14ac:dyDescent="0.3"/>
  <cols>
    <col min="1" max="1" width="23.5" bestFit="1" customWidth="1"/>
  </cols>
  <sheetData>
    <row r="1" spans="1:1" x14ac:dyDescent="0.3">
      <c r="A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2:R6"/>
  <sheetViews>
    <sheetView tabSelected="1" workbookViewId="0">
      <selection activeCell="H2" sqref="H2"/>
    </sheetView>
  </sheetViews>
  <sheetFormatPr defaultRowHeight="14" x14ac:dyDescent="0.3"/>
  <cols>
    <col min="2" max="2" width="8.83203125" bestFit="1" customWidth="1"/>
    <col min="4" max="4" width="10.33203125" bestFit="1" customWidth="1"/>
    <col min="5" max="5" width="16.5" customWidth="1"/>
    <col min="6" max="6" width="16.25" bestFit="1" customWidth="1"/>
    <col min="7" max="7" width="18.9140625" bestFit="1" customWidth="1"/>
    <col min="8" max="9" width="15.83203125" bestFit="1" customWidth="1"/>
    <col min="10" max="10" width="14" bestFit="1" customWidth="1"/>
    <col min="11" max="12" width="9.08203125" bestFit="1" customWidth="1"/>
    <col min="13" max="13" width="5.33203125" bestFit="1" customWidth="1"/>
    <col min="14" max="14" width="7.4140625" bestFit="1" customWidth="1"/>
    <col min="15" max="15" width="10" bestFit="1" customWidth="1"/>
    <col min="16" max="16" width="19.1640625" bestFit="1" customWidth="1"/>
    <col min="17" max="17" width="10" bestFit="1" customWidth="1"/>
    <col min="18" max="18" width="19.1640625" bestFit="1" customWidth="1"/>
  </cols>
  <sheetData>
    <row r="2" spans="1:18" x14ac:dyDescent="0.3">
      <c r="A2" t="s">
        <v>122</v>
      </c>
      <c r="B2" s="13" t="s">
        <v>132</v>
      </c>
      <c r="C2" s="13" t="s">
        <v>51</v>
      </c>
      <c r="D2" s="13" t="s">
        <v>52</v>
      </c>
      <c r="E2" s="13" t="s">
        <v>148</v>
      </c>
      <c r="F2" s="13" t="s">
        <v>149</v>
      </c>
      <c r="G2" s="13" t="s">
        <v>156</v>
      </c>
      <c r="H2" s="13" t="s">
        <v>55</v>
      </c>
      <c r="I2" s="13" t="s">
        <v>54</v>
      </c>
      <c r="J2" s="13" t="s">
        <v>155</v>
      </c>
      <c r="K2" s="13" t="s">
        <v>56</v>
      </c>
      <c r="L2" s="13" t="s">
        <v>133</v>
      </c>
      <c r="M2" t="s">
        <v>58</v>
      </c>
      <c r="N2" t="s">
        <v>152</v>
      </c>
      <c r="O2" t="s">
        <v>153</v>
      </c>
      <c r="P2" t="s">
        <v>154</v>
      </c>
    </row>
    <row r="3" spans="1:18" x14ac:dyDescent="0.3">
      <c r="B3" s="13"/>
      <c r="C3" s="13"/>
      <c r="D3" s="13"/>
      <c r="E3" s="13"/>
      <c r="F3" s="13"/>
      <c r="G3" s="13"/>
      <c r="H3" s="13"/>
      <c r="I3" s="13"/>
      <c r="J3" s="13"/>
      <c r="K3" s="13"/>
    </row>
    <row r="4" spans="1:18" s="43" customFormat="1" x14ac:dyDescent="0.3">
      <c r="A4" s="43" t="s">
        <v>176</v>
      </c>
      <c r="B4" s="43" t="s">
        <v>132</v>
      </c>
      <c r="C4" s="43" t="s">
        <v>51</v>
      </c>
      <c r="D4" s="43" t="s">
        <v>52</v>
      </c>
      <c r="E4" s="43" t="s">
        <v>148</v>
      </c>
      <c r="F4" s="43" t="s">
        <v>149</v>
      </c>
      <c r="G4" s="13" t="s">
        <v>156</v>
      </c>
      <c r="H4" s="43" t="s">
        <v>150</v>
      </c>
      <c r="I4" s="43" t="s">
        <v>55</v>
      </c>
      <c r="J4" s="13" t="s">
        <v>54</v>
      </c>
      <c r="K4" s="13" t="s">
        <v>155</v>
      </c>
      <c r="L4" s="43" t="s">
        <v>56</v>
      </c>
      <c r="M4" s="43" t="s">
        <v>133</v>
      </c>
      <c r="N4" s="43" t="s">
        <v>58</v>
      </c>
      <c r="O4" s="43" t="s">
        <v>151</v>
      </c>
      <c r="P4" s="43" t="s">
        <v>152</v>
      </c>
      <c r="Q4" s="43" t="s">
        <v>153</v>
      </c>
      <c r="R4" s="43" t="s">
        <v>154</v>
      </c>
    </row>
    <row r="6" spans="1:18" x14ac:dyDescent="0.3">
      <c r="F6" s="13"/>
      <c r="G6" s="13"/>
      <c r="H6" s="13"/>
      <c r="I6" s="13"/>
      <c r="J6" s="13"/>
      <c r="K6" s="13"/>
      <c r="L6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" x14ac:dyDescent="0.3"/>
  <sheetData>
    <row r="2" spans="2:7" x14ac:dyDescent="0.3">
      <c r="B2" s="52" t="s">
        <v>77</v>
      </c>
      <c r="C2" s="52"/>
      <c r="D2" s="52"/>
      <c r="E2" s="52"/>
      <c r="F2" s="52"/>
      <c r="G2" s="52"/>
    </row>
    <row r="3" spans="2:7" x14ac:dyDescent="0.3">
      <c r="B3" s="30"/>
      <c r="C3" s="30"/>
      <c r="D3" s="30"/>
      <c r="E3" s="30"/>
      <c r="F3" s="30"/>
      <c r="G3" s="30"/>
    </row>
    <row r="4" spans="2:7" x14ac:dyDescent="0.3">
      <c r="B4" s="4" t="s">
        <v>122</v>
      </c>
      <c r="D4" t="s">
        <v>32</v>
      </c>
      <c r="E4" t="s">
        <v>33</v>
      </c>
      <c r="F4" t="s">
        <v>34</v>
      </c>
      <c r="G4" t="s">
        <v>40</v>
      </c>
    </row>
    <row r="5" spans="2:7" x14ac:dyDescent="0.3">
      <c r="B5" s="4"/>
      <c r="C5" t="s">
        <v>28</v>
      </c>
      <c r="D5">
        <v>95</v>
      </c>
      <c r="E5">
        <v>30</v>
      </c>
      <c r="F5">
        <v>1</v>
      </c>
      <c r="G5">
        <f>E5*F5</f>
        <v>30</v>
      </c>
    </row>
    <row r="6" spans="2:7" x14ac:dyDescent="0.3">
      <c r="B6" s="4"/>
      <c r="C6" t="s">
        <v>29</v>
      </c>
      <c r="D6">
        <v>95</v>
      </c>
      <c r="E6">
        <v>5</v>
      </c>
      <c r="F6">
        <v>40</v>
      </c>
      <c r="G6">
        <f>E6*F6</f>
        <v>200</v>
      </c>
    </row>
    <row r="7" spans="2:7" x14ac:dyDescent="0.3">
      <c r="C7" t="s">
        <v>30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3">
      <c r="C8" t="s">
        <v>31</v>
      </c>
    </row>
    <row r="9" spans="2:7" x14ac:dyDescent="0.3">
      <c r="D9" t="s">
        <v>35</v>
      </c>
      <c r="E9" t="s">
        <v>36</v>
      </c>
      <c r="F9">
        <v>60</v>
      </c>
    </row>
    <row r="10" spans="2:7" x14ac:dyDescent="0.3">
      <c r="E10" t="s">
        <v>37</v>
      </c>
      <c r="F10">
        <v>95</v>
      </c>
    </row>
    <row r="11" spans="2:7" x14ac:dyDescent="0.3">
      <c r="E11" t="s">
        <v>39</v>
      </c>
      <c r="F11" s="7">
        <v>0.6</v>
      </c>
    </row>
    <row r="12" spans="2:7" x14ac:dyDescent="0.3">
      <c r="E12" s="48" t="s">
        <v>41</v>
      </c>
      <c r="F12" s="48"/>
      <c r="G12" s="8">
        <f>SUM(G5:G7)/60+(F10-F9)*(1/F11)</f>
        <v>65.5</v>
      </c>
    </row>
    <row r="16" spans="2:7" x14ac:dyDescent="0.3">
      <c r="B16" s="52" t="s">
        <v>121</v>
      </c>
      <c r="C16" s="52"/>
      <c r="D16" s="52"/>
      <c r="E16" s="52"/>
      <c r="F16" s="52"/>
      <c r="G16" s="52"/>
    </row>
    <row r="17" spans="2:7" x14ac:dyDescent="0.3">
      <c r="B17" s="37"/>
      <c r="C17" s="37"/>
      <c r="D17" s="37"/>
      <c r="E17" s="37"/>
      <c r="F17" s="37"/>
      <c r="G17" s="37"/>
    </row>
    <row r="18" spans="2:7" x14ac:dyDescent="0.3">
      <c r="B18" s="4" t="s">
        <v>123</v>
      </c>
      <c r="D18" t="s">
        <v>32</v>
      </c>
      <c r="E18" t="s">
        <v>33</v>
      </c>
      <c r="F18" t="s">
        <v>34</v>
      </c>
      <c r="G18" t="s">
        <v>40</v>
      </c>
    </row>
    <row r="19" spans="2:7" x14ac:dyDescent="0.3">
      <c r="B19" s="4"/>
      <c r="C19" t="s">
        <v>28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3">
      <c r="B20" s="4"/>
      <c r="C20" t="s">
        <v>29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3">
      <c r="C21" t="s">
        <v>30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3">
      <c r="C22" t="s">
        <v>31</v>
      </c>
    </row>
    <row r="23" spans="2:7" x14ac:dyDescent="0.3">
      <c r="D23" t="s">
        <v>35</v>
      </c>
      <c r="E23" t="s">
        <v>36</v>
      </c>
      <c r="F23">
        <v>60</v>
      </c>
    </row>
    <row r="24" spans="2:7" x14ac:dyDescent="0.3">
      <c r="E24" t="s">
        <v>37</v>
      </c>
      <c r="F24">
        <v>95</v>
      </c>
    </row>
    <row r="25" spans="2:7" x14ac:dyDescent="0.3">
      <c r="E25" t="s">
        <v>39</v>
      </c>
      <c r="F25" s="7">
        <v>0.6</v>
      </c>
    </row>
    <row r="26" spans="2:7" x14ac:dyDescent="0.3">
      <c r="E26" s="48" t="s">
        <v>41</v>
      </c>
      <c r="F26" s="48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" x14ac:dyDescent="0.3"/>
  <cols>
    <col min="1" max="1" width="9.33203125" bestFit="1" customWidth="1"/>
    <col min="2" max="2" width="9.08203125" bestFit="1" customWidth="1"/>
    <col min="3" max="3" width="10.5" bestFit="1" customWidth="1"/>
    <col min="4" max="4" width="14.08203125" bestFit="1" customWidth="1"/>
    <col min="5" max="5" width="16.75" style="13" bestFit="1" customWidth="1"/>
    <col min="6" max="6" width="9.75" bestFit="1" customWidth="1"/>
    <col min="8" max="8" width="9.08203125" bestFit="1" customWidth="1"/>
  </cols>
  <sheetData>
    <row r="1" spans="1:8" x14ac:dyDescent="0.3">
      <c r="A1" s="14" t="s">
        <v>51</v>
      </c>
      <c r="B1" s="14" t="s">
        <v>52</v>
      </c>
      <c r="C1" s="14" t="s">
        <v>53</v>
      </c>
      <c r="D1" s="14" t="s">
        <v>54</v>
      </c>
      <c r="E1" s="14" t="s">
        <v>55</v>
      </c>
      <c r="F1" s="14" t="s">
        <v>56</v>
      </c>
      <c r="G1" s="14" t="s">
        <v>57</v>
      </c>
      <c r="H1" s="14" t="s">
        <v>58</v>
      </c>
    </row>
    <row r="2" spans="1:8" x14ac:dyDescent="0.3">
      <c r="A2" s="15">
        <v>43745</v>
      </c>
      <c r="B2" s="3">
        <v>1</v>
      </c>
      <c r="C2" s="3">
        <v>1</v>
      </c>
      <c r="D2" s="3" t="s">
        <v>59</v>
      </c>
      <c r="E2" s="14">
        <v>1</v>
      </c>
      <c r="F2" s="3">
        <v>0</v>
      </c>
      <c r="G2" s="3" t="s">
        <v>10</v>
      </c>
      <c r="H2" s="3">
        <f t="shared" ref="H2:H17" ca="1" si="0">RANDBETWEEN(24,27)</f>
        <v>24</v>
      </c>
    </row>
    <row r="3" spans="1:8" x14ac:dyDescent="0.3">
      <c r="A3" s="15">
        <v>43745</v>
      </c>
      <c r="B3" s="3">
        <v>1</v>
      </c>
      <c r="C3" s="3">
        <v>1</v>
      </c>
      <c r="D3" s="3" t="s">
        <v>59</v>
      </c>
      <c r="E3" s="14">
        <v>2</v>
      </c>
      <c r="F3" s="3">
        <v>0</v>
      </c>
      <c r="G3" s="3" t="s">
        <v>10</v>
      </c>
      <c r="H3" s="3">
        <f t="shared" ca="1" si="0"/>
        <v>26</v>
      </c>
    </row>
    <row r="4" spans="1:8" x14ac:dyDescent="0.3">
      <c r="A4" s="15">
        <v>43745</v>
      </c>
      <c r="B4" s="3">
        <v>1</v>
      </c>
      <c r="C4" s="3">
        <v>1</v>
      </c>
      <c r="D4" s="3" t="s">
        <v>59</v>
      </c>
      <c r="E4" s="14">
        <v>1</v>
      </c>
      <c r="F4" s="3">
        <v>0</v>
      </c>
      <c r="G4" s="3" t="s">
        <v>60</v>
      </c>
      <c r="H4" s="3">
        <f t="shared" ca="1" si="0"/>
        <v>26</v>
      </c>
    </row>
    <row r="5" spans="1:8" x14ac:dyDescent="0.3">
      <c r="A5" s="15">
        <v>43745</v>
      </c>
      <c r="B5" s="3">
        <v>1</v>
      </c>
      <c r="C5" s="3">
        <v>1</v>
      </c>
      <c r="D5" s="3" t="s">
        <v>59</v>
      </c>
      <c r="E5" s="14">
        <v>2</v>
      </c>
      <c r="F5" s="3">
        <v>0</v>
      </c>
      <c r="G5" s="3" t="s">
        <v>60</v>
      </c>
      <c r="H5" s="3">
        <f t="shared" ca="1" si="0"/>
        <v>24</v>
      </c>
    </row>
    <row r="6" spans="1:8" x14ac:dyDescent="0.3">
      <c r="A6" s="15">
        <v>43745</v>
      </c>
      <c r="B6" s="3">
        <v>1</v>
      </c>
      <c r="C6" s="3">
        <v>1</v>
      </c>
      <c r="D6" s="3" t="s">
        <v>61</v>
      </c>
      <c r="E6" s="14">
        <v>1</v>
      </c>
      <c r="F6" s="3">
        <v>0</v>
      </c>
      <c r="G6" s="3" t="s">
        <v>10</v>
      </c>
      <c r="H6" s="3">
        <f t="shared" ca="1" si="0"/>
        <v>25</v>
      </c>
    </row>
    <row r="7" spans="1:8" x14ac:dyDescent="0.3">
      <c r="A7" s="15">
        <v>43745</v>
      </c>
      <c r="B7" s="3">
        <v>1</v>
      </c>
      <c r="C7" s="3">
        <v>1</v>
      </c>
      <c r="D7" s="3" t="s">
        <v>61</v>
      </c>
      <c r="E7" s="14">
        <v>2</v>
      </c>
      <c r="F7" s="3">
        <v>0</v>
      </c>
      <c r="G7" s="3" t="s">
        <v>10</v>
      </c>
      <c r="H7" s="3">
        <f t="shared" ca="1" si="0"/>
        <v>25</v>
      </c>
    </row>
    <row r="8" spans="1:8" x14ac:dyDescent="0.3">
      <c r="A8" s="15">
        <v>43745</v>
      </c>
      <c r="B8" s="3">
        <v>1</v>
      </c>
      <c r="C8" s="3">
        <v>1</v>
      </c>
      <c r="D8" s="3" t="s">
        <v>61</v>
      </c>
      <c r="E8" s="14">
        <v>1</v>
      </c>
      <c r="F8" s="3">
        <v>0</v>
      </c>
      <c r="G8" s="3" t="s">
        <v>60</v>
      </c>
      <c r="H8" s="3">
        <f t="shared" ca="1" si="0"/>
        <v>27</v>
      </c>
    </row>
    <row r="9" spans="1:8" x14ac:dyDescent="0.3">
      <c r="A9" s="15">
        <v>43745</v>
      </c>
      <c r="B9" s="3">
        <v>1</v>
      </c>
      <c r="C9" s="3">
        <v>1</v>
      </c>
      <c r="D9" s="3" t="s">
        <v>61</v>
      </c>
      <c r="E9" s="14">
        <v>2</v>
      </c>
      <c r="F9" s="3">
        <v>0</v>
      </c>
      <c r="G9" s="3" t="s">
        <v>60</v>
      </c>
      <c r="H9" s="3">
        <f t="shared" ca="1" si="0"/>
        <v>25</v>
      </c>
    </row>
    <row r="10" spans="1:8" x14ac:dyDescent="0.3">
      <c r="A10" s="15" t="s">
        <v>62</v>
      </c>
      <c r="B10" s="3">
        <v>2</v>
      </c>
      <c r="C10" s="3">
        <v>1</v>
      </c>
      <c r="D10" s="3" t="s">
        <v>59</v>
      </c>
      <c r="E10" s="14">
        <v>1</v>
      </c>
      <c r="F10" s="3">
        <v>48</v>
      </c>
      <c r="G10" s="3" t="s">
        <v>10</v>
      </c>
      <c r="H10" s="3">
        <f t="shared" ca="1" si="0"/>
        <v>24</v>
      </c>
    </row>
    <row r="11" spans="1:8" x14ac:dyDescent="0.3">
      <c r="A11" s="15" t="s">
        <v>62</v>
      </c>
      <c r="B11" s="3">
        <v>2</v>
      </c>
      <c r="C11" s="3">
        <v>1</v>
      </c>
      <c r="D11" s="3" t="s">
        <v>59</v>
      </c>
      <c r="E11" s="14">
        <v>2</v>
      </c>
      <c r="F11" s="3">
        <v>48</v>
      </c>
      <c r="G11" s="3" t="s">
        <v>10</v>
      </c>
      <c r="H11" s="3">
        <f t="shared" ca="1" si="0"/>
        <v>27</v>
      </c>
    </row>
    <row r="12" spans="1:8" x14ac:dyDescent="0.3">
      <c r="A12" s="15" t="s">
        <v>62</v>
      </c>
      <c r="B12" s="3">
        <v>2</v>
      </c>
      <c r="C12" s="3">
        <v>1</v>
      </c>
      <c r="D12" s="3" t="s">
        <v>59</v>
      </c>
      <c r="E12" s="14">
        <v>1</v>
      </c>
      <c r="F12" s="3">
        <v>48</v>
      </c>
      <c r="G12" s="3" t="s">
        <v>60</v>
      </c>
      <c r="H12" s="3">
        <f t="shared" ca="1" si="0"/>
        <v>27</v>
      </c>
    </row>
    <row r="13" spans="1:8" x14ac:dyDescent="0.3">
      <c r="A13" s="15" t="s">
        <v>62</v>
      </c>
      <c r="B13" s="3">
        <v>2</v>
      </c>
      <c r="C13" s="3">
        <v>1</v>
      </c>
      <c r="D13" s="3" t="s">
        <v>59</v>
      </c>
      <c r="E13" s="14">
        <v>2</v>
      </c>
      <c r="F13" s="3">
        <v>48</v>
      </c>
      <c r="G13" s="3" t="s">
        <v>60</v>
      </c>
      <c r="H13" s="3">
        <f t="shared" ca="1" si="0"/>
        <v>26</v>
      </c>
    </row>
    <row r="14" spans="1:8" x14ac:dyDescent="0.3">
      <c r="A14" s="15" t="s">
        <v>62</v>
      </c>
      <c r="B14" s="3">
        <v>2</v>
      </c>
      <c r="C14" s="3">
        <v>1</v>
      </c>
      <c r="D14" s="3" t="s">
        <v>61</v>
      </c>
      <c r="E14" s="14">
        <v>1</v>
      </c>
      <c r="F14" s="3">
        <v>48</v>
      </c>
      <c r="G14" s="3" t="s">
        <v>10</v>
      </c>
      <c r="H14" s="3">
        <f t="shared" ca="1" si="0"/>
        <v>25</v>
      </c>
    </row>
    <row r="15" spans="1:8" x14ac:dyDescent="0.3">
      <c r="A15" s="15" t="s">
        <v>62</v>
      </c>
      <c r="B15" s="3">
        <v>2</v>
      </c>
      <c r="C15" s="3">
        <v>1</v>
      </c>
      <c r="D15" s="3" t="s">
        <v>61</v>
      </c>
      <c r="E15" s="14">
        <v>2</v>
      </c>
      <c r="F15" s="3">
        <v>48</v>
      </c>
      <c r="G15" s="3" t="s">
        <v>10</v>
      </c>
      <c r="H15" s="3">
        <f t="shared" ca="1" si="0"/>
        <v>25</v>
      </c>
    </row>
    <row r="16" spans="1:8" x14ac:dyDescent="0.3">
      <c r="A16" s="15" t="s">
        <v>62</v>
      </c>
      <c r="B16" s="3">
        <v>2</v>
      </c>
      <c r="C16" s="3">
        <v>1</v>
      </c>
      <c r="D16" s="3" t="s">
        <v>61</v>
      </c>
      <c r="E16" s="14">
        <v>1</v>
      </c>
      <c r="F16" s="3">
        <v>48</v>
      </c>
      <c r="G16" s="3" t="s">
        <v>60</v>
      </c>
      <c r="H16" s="3">
        <f t="shared" ca="1" si="0"/>
        <v>27</v>
      </c>
    </row>
    <row r="17" spans="1:8" x14ac:dyDescent="0.3">
      <c r="A17" s="15" t="s">
        <v>62</v>
      </c>
      <c r="B17" s="3">
        <v>2</v>
      </c>
      <c r="C17" s="3">
        <v>1</v>
      </c>
      <c r="D17" s="3" t="s">
        <v>61</v>
      </c>
      <c r="E17" s="14">
        <v>2</v>
      </c>
      <c r="F17" s="3">
        <v>48</v>
      </c>
      <c r="G17" s="3" t="s">
        <v>60</v>
      </c>
      <c r="H17" s="3">
        <f t="shared" ca="1" si="0"/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Silva</cp:lastModifiedBy>
  <cp:lastPrinted>2019-12-07T18:53:41Z</cp:lastPrinted>
  <dcterms:created xsi:type="dcterms:W3CDTF">2019-11-26T09:34:07Z</dcterms:created>
  <dcterms:modified xsi:type="dcterms:W3CDTF">2021-11-29T15:33:19Z</dcterms:modified>
</cp:coreProperties>
</file>