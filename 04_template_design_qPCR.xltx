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E8EB71BA-1D13-4837-86EB-4361437ECB39}" xr6:coauthVersionLast="46" xr6:coauthVersionMax="46" xr10:uidLastSave="{00000000-0000-0000-0000-000000000000}"/>
  <bookViews>
    <workbookView xWindow="-120" yWindow="-120" windowWidth="29040" windowHeight="15990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1" i="1" l="1"/>
  <c r="D31" i="1"/>
  <c r="D30" i="1"/>
  <c r="H41" i="1"/>
  <c r="H45" i="1"/>
  <c r="H48" i="1"/>
  <c r="D19" i="1" l="1"/>
  <c r="E30" i="1" s="1"/>
  <c r="G21" i="6" l="1"/>
  <c r="G26" i="6" s="1"/>
  <c r="G20" i="6"/>
  <c r="G19" i="6"/>
  <c r="G48" i="1" l="1"/>
  <c r="I42" i="1" l="1"/>
  <c r="I43" i="1" s="1"/>
  <c r="I59" i="1"/>
  <c r="J59" i="1" s="1"/>
  <c r="I46" i="1"/>
  <c r="I47" i="1" s="1"/>
  <c r="I49" i="1"/>
  <c r="I60" i="1" l="1"/>
  <c r="I50" i="1"/>
  <c r="I58" i="1"/>
  <c r="D28" i="1"/>
  <c r="I8" i="1" s="1"/>
  <c r="D33" i="1"/>
  <c r="F42" i="1" l="1"/>
  <c r="G42" i="1" s="1"/>
  <c r="G7" i="6" l="1"/>
  <c r="G6" i="6"/>
  <c r="G5" i="6"/>
  <c r="I9" i="1"/>
  <c r="I10" i="1" s="1"/>
  <c r="E57" i="1"/>
  <c r="E51" i="1"/>
  <c r="D9" i="1"/>
  <c r="D11" i="1" s="1"/>
  <c r="E33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D29" i="1" l="1"/>
  <c r="E52" i="1"/>
  <c r="E53" i="1" s="1"/>
  <c r="F43" i="1" l="1"/>
  <c r="G43" i="1" s="1"/>
  <c r="F41" i="1"/>
  <c r="D34" i="1" l="1"/>
  <c r="E48" i="1"/>
  <c r="F51" i="1" s="1"/>
  <c r="J8" i="1" s="1"/>
  <c r="G52" i="1"/>
  <c r="F44" i="1"/>
  <c r="G44" i="1" s="1"/>
  <c r="G47" i="1" l="1"/>
  <c r="I61" i="1" s="1"/>
  <c r="G45" i="1"/>
  <c r="F57" i="1"/>
  <c r="E47" i="1"/>
  <c r="E56" i="1"/>
  <c r="F52" i="1" s="1"/>
  <c r="E55" i="1"/>
  <c r="D35" i="1" l="1"/>
  <c r="F53" i="1"/>
  <c r="J10" i="1" s="1"/>
  <c r="J9" i="1"/>
  <c r="F29" i="1"/>
  <c r="E36" i="1" l="1"/>
  <c r="H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<sst xmlns="http://schemas.openxmlformats.org/spreadsheetml/2006/main" count="210" uniqueCount="149">
  <si>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</si>
  <si>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</si>
  <si>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</si>
  <si>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</si>
  <si>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</si>
  <si>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</si>
  <si>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</si>
  <si>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</si>
  <si>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</si>
  <si>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</si>
  <si>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</si>
  <si>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</si>
  <si>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</si>
  <si>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</si>
  <si>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</si>
  <si>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</si>
  <si>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</si>
  <si>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</si>
  <si>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</si>
  <si>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</si>
  <si>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</si>
  <si>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</si>
  <si>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</si>
  <si>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</si>
  <si>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</si>
  <si>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</si>
  <si>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</si>
  <si>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</si>
  <si>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</si>
  <si>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</si>
  <si>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</si>
  <si>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</si>
  <si>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</si>
  <si>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</si>
  <si>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</si>
  <si>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</si>
  <si>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</si>
  <si>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</si>
  <si>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</si>
  <si>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</si>
  <si>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</si>
  <si>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</si>
  <si>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</si>
  <si>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</si>
  <si>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</si>
  <si>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</si>
  <si>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</si>
  <si>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</si>
  <si>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</si>
  <si>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</si>
  <si>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</si>
  <si>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</si>
  <si>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</si>
  <si>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</si>
  <si>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</si>
  <si>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</si>
  <si>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</si>
  <si>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</si>
  <si>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</si>
  <si>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</si>
  <si>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</si>
  <si>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</si>
  <si>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</si>
  <si>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gene #1</t>
  </si>
  <si>
    <t>experiment target genes</t>
  </si>
  <si>
    <t>e.g control and treatment (=2)</t>
  </si>
  <si>
    <t>colour meaning: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</si>
  <si>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</si>
  <si>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</si>
  <si>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</si>
  <si>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</si>
  <si>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standard/default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</si>
  <si>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</si>
  <si>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</si>
  <si>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</si>
  <si>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</si>
  <si>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</si>
  <si>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</si>
  <si>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</si>
  <si>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</si>
  <si>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</si>
  <si>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</si>
  <si>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</si>
  <si>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</si>
  <si>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</si>
  <si>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</si>
  <si>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</si>
  <si>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</si>
  <si>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</si>
  <si>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</si>
  <si>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</si>
  <si>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</si>
  <si>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</si>
  <si>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</si>
  <si>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</si>
  <si>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</si>
  <si>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</si>
  <si>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total template DNA needed per sample (µL)</t>
  </si>
  <si>
    <t>template DNA</t>
  </si>
  <si>
    <t>max. volume DNA (µL)</t>
  </si>
  <si>
    <t>Total volume template DNA needed (µL)</t>
  </si>
  <si>
    <t>tube per NRT (µL)</t>
  </si>
  <si>
    <t>NRT sample</t>
  </si>
  <si>
    <t>gene #2</t>
  </si>
  <si>
    <t>sample1</t>
  </si>
  <si>
    <t>tube per NTC (µL)</t>
  </si>
  <si>
    <t>total volume mix (uL)</t>
  </si>
  <si>
    <t>mix volume -template (uL)</t>
  </si>
  <si>
    <t>volume check per gene per biogroup (µL)</t>
  </si>
  <si>
    <t>no. NAC wells</t>
  </si>
  <si>
    <t>total volume check (µL)</t>
  </si>
  <si>
    <t>only change to &gt;1 if the cell above also is &gt;1, or if you consider extra wells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</si>
  <si>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</si>
  <si>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</si>
  <si>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</si>
  <si>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</si>
  <si>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</si>
  <si>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</si>
  <si>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</si>
  <si>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</si>
  <si>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gene #3</t>
  </si>
  <si>
    <t>gene #4</t>
  </si>
  <si>
    <t>gene #5</t>
  </si>
  <si>
    <t>gene #6</t>
  </si>
  <si>
    <t>gene #7</t>
  </si>
  <si>
    <t>gene #8</t>
  </si>
  <si>
    <t>gene #9</t>
  </si>
  <si>
    <t>gene #10</t>
  </si>
  <si>
    <t>gene #11</t>
  </si>
  <si>
    <t>gene #12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</si>
  <si>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</si>
  <si>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</si>
  <si>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</si>
  <si>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</si>
  <si>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</si>
  <si>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</si>
  <si>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</si>
  <si>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no. time points -- individuals -- targets</t>
  </si>
  <si>
    <t>time points -- individuals -- targets</t>
  </si>
  <si>
    <t>number of time points to study, or individuals, or IP targets</t>
  </si>
  <si>
    <t>alternative to excess factor if set to 1</t>
  </si>
  <si>
    <t>total sso fast EvaGreen (µL)</t>
  </si>
  <si>
    <t>reference gene(s) e.g. gapdh, hrp, negative/postive locus</t>
  </si>
  <si>
    <r>
      <t xml:space="preserve">Tubes to prepare per gene </t>
    </r>
    <r>
      <rPr>
        <sz val="11"/>
        <color theme="1"/>
        <rFont val="Helvetica LT Std"/>
        <family val="2"/>
      </rPr>
      <t>(1 tubes is for no. replicates == no. of wells)</t>
    </r>
  </si>
  <si>
    <t>sample_group</t>
  </si>
  <si>
    <t>no. NTC well(s) per gene</t>
  </si>
  <si>
    <t>no. NRT well(s)</t>
  </si>
  <si>
    <t>no. extra reaction well(s)</t>
  </si>
  <si>
    <t>extra volume (extra well or NAC)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</si>
</sst>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1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3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28</xdr:row>
      <xdr:rowOff>123825</xdr:rowOff>
    </xdr:from>
    <xdr:to>
      <xdr:col>20</xdr:col>
      <xdr:colOff>166688</xdr:colOff>
      <xdr:row>70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1"/>
  <sheetViews>
    <sheetView tabSelected="1" topLeftCell="B10" zoomScale="85" zoomScaleNormal="85" workbookViewId="0">
      <selection activeCell="F46" sqref="F46"/>
    </sheetView>
  </sheetViews>
  <sheetFormatPr defaultRowHeight="14.25" x14ac:dyDescent="0.2"/>
  <cols>
    <col min="2" max="2" width="24.75" bestFit="1" customWidth="1"/>
    <col min="3" max="3" width="36.75" bestFit="1" customWidth="1"/>
    <col min="4" max="4" width="27.125" bestFit="1" customWidth="1"/>
    <col min="5" max="5" width="20.75" bestFit="1" customWidth="1"/>
    <col min="6" max="6" width="22.125" bestFit="1" customWidth="1"/>
    <col min="7" max="7" width="21" customWidth="1"/>
    <col min="8" max="8" width="27" bestFit="1" customWidth="1"/>
    <col min="9" max="9" width="29.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2">
      <c r="A1" t="s">
        <v>16</v>
      </c>
      <c r="B1">
        <v>96</v>
      </c>
      <c r="C1" s="2" t="s">
        <v>66</v>
      </c>
      <c r="D1" s="17" t="s">
        <v>67</v>
      </c>
      <c r="E1" s="18" t="s">
        <v>68</v>
      </c>
      <c r="F1" s="22" t="s">
        <v>71</v>
      </c>
    </row>
    <row r="3" spans="1:11" x14ac:dyDescent="0.2">
      <c r="B3" s="4" t="s">
        <v>64</v>
      </c>
      <c r="C3" s="45"/>
      <c r="D3" s="45"/>
      <c r="E3" s="45"/>
      <c r="F3" s="45"/>
      <c r="G3" s="45"/>
      <c r="H3" s="45"/>
      <c r="I3" s="45"/>
      <c r="J3" s="45"/>
    </row>
    <row r="4" spans="1:11" x14ac:dyDescent="0.2">
      <c r="B4" s="4" t="s">
        <v>80</v>
      </c>
      <c r="C4" s="45"/>
      <c r="D4" s="45"/>
      <c r="E4" s="45"/>
      <c r="F4" s="45"/>
      <c r="G4" s="45"/>
      <c r="H4" s="45"/>
      <c r="I4" s="45"/>
      <c r="J4" s="45"/>
    </row>
    <row r="5" spans="1:11" x14ac:dyDescent="0.2">
      <c r="A5" s="43" t="s">
        <v>138</v>
      </c>
      <c r="B5" s="43"/>
      <c r="C5" s="45"/>
      <c r="D5" s="45"/>
      <c r="E5" s="45"/>
      <c r="F5" s="45"/>
      <c r="G5" s="45"/>
      <c r="H5" s="45"/>
      <c r="I5" s="45"/>
      <c r="J5" s="45"/>
    </row>
    <row r="7" spans="1:11" x14ac:dyDescent="0.2">
      <c r="B7" s="4" t="s">
        <v>13</v>
      </c>
      <c r="H7" s="46" t="s">
        <v>75</v>
      </c>
      <c r="I7" s="46"/>
      <c r="J7" s="28" t="s">
        <v>78</v>
      </c>
      <c r="K7" s="29"/>
    </row>
    <row r="8" spans="1:11" x14ac:dyDescent="0.2">
      <c r="C8" t="s">
        <v>85</v>
      </c>
      <c r="D8" s="16">
        <v>1000</v>
      </c>
      <c r="E8" s="3" t="s">
        <v>14</v>
      </c>
      <c r="H8" t="s">
        <v>45</v>
      </c>
      <c r="I8" s="41">
        <f>ROUND(D28*D13,0)</f>
        <v>5</v>
      </c>
      <c r="J8" s="3">
        <f>F51</f>
        <v>41.999999999999993</v>
      </c>
    </row>
    <row r="9" spans="1:11" x14ac:dyDescent="0.2">
      <c r="C9" t="s">
        <v>87</v>
      </c>
      <c r="D9" s="23">
        <f>$D$8/20</f>
        <v>50</v>
      </c>
      <c r="E9" s="6" t="s">
        <v>42</v>
      </c>
      <c r="H9" t="s">
        <v>136</v>
      </c>
      <c r="I9" s="42">
        <f>$I$8/$D$10</f>
        <v>1.6666666666666667</v>
      </c>
      <c r="J9" s="11">
        <f>F52</f>
        <v>1.7499999999999998</v>
      </c>
    </row>
    <row r="10" spans="1:11" x14ac:dyDescent="0.2">
      <c r="C10" t="s">
        <v>11</v>
      </c>
      <c r="D10" s="16">
        <v>3</v>
      </c>
      <c r="E10" s="3" t="s">
        <v>17</v>
      </c>
      <c r="H10" t="s">
        <v>88</v>
      </c>
      <c r="I10" s="42">
        <f>$I$8-$I$9</f>
        <v>3.333333333333333</v>
      </c>
      <c r="J10" s="11">
        <f>F53</f>
        <v>40.249999999999993</v>
      </c>
    </row>
    <row r="11" spans="1:11" x14ac:dyDescent="0.2">
      <c r="C11" t="s">
        <v>86</v>
      </c>
      <c r="D11" s="9">
        <f>$F$45*($D$9/$D$10)</f>
        <v>16.666666666666668</v>
      </c>
      <c r="E11" s="3" t="s">
        <v>38</v>
      </c>
      <c r="H11" s="47" t="str">
        <f>_xlfn.CONCAT("min. vol. needed per gene per biogroup per time point ",ROUNDUP(D33,2)," uL")</f>
        <v>min. vol. needed per gene per biogroup per time point 6.6 uL</v>
      </c>
      <c r="I11" s="47"/>
      <c r="J11" s="21"/>
    </row>
    <row r="12" spans="1:11" x14ac:dyDescent="0.2">
      <c r="C12" t="s">
        <v>83</v>
      </c>
      <c r="D12" s="16">
        <v>1.1000000000000001</v>
      </c>
      <c r="E12" s="3" t="s">
        <v>18</v>
      </c>
      <c r="I12">
        <v>1.2</v>
      </c>
    </row>
    <row r="13" spans="1:11" x14ac:dyDescent="0.2">
      <c r="C13" t="s">
        <v>84</v>
      </c>
      <c r="D13" s="16">
        <v>1.1000000000000001</v>
      </c>
      <c r="E13" s="3" t="s">
        <v>111</v>
      </c>
      <c r="I13">
        <v>1.05</v>
      </c>
    </row>
    <row r="15" spans="1:11" x14ac:dyDescent="0.2">
      <c r="B15" s="4" t="s">
        <v>15</v>
      </c>
      <c r="C15" t="s">
        <v>2</v>
      </c>
      <c r="D15" s="16">
        <v>2</v>
      </c>
      <c r="E15" s="3" t="s">
        <v>65</v>
      </c>
    </row>
    <row r="16" spans="1:11" x14ac:dyDescent="0.2">
      <c r="B16" s="4"/>
      <c r="C16" t="s">
        <v>137</v>
      </c>
      <c r="D16" s="16">
        <v>1</v>
      </c>
      <c r="E16" s="3" t="s">
        <v>139</v>
      </c>
    </row>
    <row r="17" spans="3:6" x14ac:dyDescent="0.2">
      <c r="C17" t="s">
        <v>49</v>
      </c>
      <c r="D17" s="16">
        <v>3</v>
      </c>
      <c r="E17" s="3" t="s">
        <v>70</v>
      </c>
    </row>
    <row r="18" spans="3:6" x14ac:dyDescent="0.2">
      <c r="C18" t="s">
        <v>47</v>
      </c>
      <c r="D18" s="16">
        <v>2</v>
      </c>
      <c r="E18" s="3" t="s">
        <v>48</v>
      </c>
    </row>
    <row r="19" spans="3:6" x14ac:dyDescent="0.2">
      <c r="C19" t="s">
        <v>3</v>
      </c>
      <c r="D19" s="1">
        <f>SUM(D20:D21)</f>
        <v>2</v>
      </c>
      <c r="E19" s="3" t="s">
        <v>26</v>
      </c>
    </row>
    <row r="20" spans="3:6" x14ac:dyDescent="0.2">
      <c r="C20" s="2" t="s">
        <v>24</v>
      </c>
      <c r="D20" s="16">
        <v>1</v>
      </c>
      <c r="E20" s="3" t="s">
        <v>27</v>
      </c>
    </row>
    <row r="21" spans="3:6" x14ac:dyDescent="0.2">
      <c r="C21" s="2" t="s">
        <v>25</v>
      </c>
      <c r="D21" s="16">
        <v>1</v>
      </c>
      <c r="E21" s="3" t="s">
        <v>142</v>
      </c>
    </row>
    <row r="22" spans="3:6" x14ac:dyDescent="0.2">
      <c r="C22" t="s">
        <v>145</v>
      </c>
      <c r="D22" s="16">
        <v>1</v>
      </c>
      <c r="E22" s="3" t="s">
        <v>22</v>
      </c>
    </row>
    <row r="23" spans="3:6" x14ac:dyDescent="0.2">
      <c r="C23" t="s">
        <v>146</v>
      </c>
      <c r="D23" s="16">
        <v>0</v>
      </c>
      <c r="E23" s="3" t="s">
        <v>69</v>
      </c>
    </row>
    <row r="24" spans="3:6" x14ac:dyDescent="0.2">
      <c r="C24" t="s">
        <v>5</v>
      </c>
      <c r="D24" s="16">
        <v>1</v>
      </c>
      <c r="E24" s="3" t="s">
        <v>74</v>
      </c>
    </row>
    <row r="25" spans="3:6" x14ac:dyDescent="0.2">
      <c r="C25" t="s">
        <v>147</v>
      </c>
      <c r="D25" s="16">
        <v>0</v>
      </c>
      <c r="E25" s="3" t="s">
        <v>140</v>
      </c>
    </row>
    <row r="26" spans="3:6" x14ac:dyDescent="0.2">
      <c r="C26" t="s">
        <v>109</v>
      </c>
      <c r="D26" s="16">
        <v>0</v>
      </c>
      <c r="E26" s="3" t="s">
        <v>23</v>
      </c>
    </row>
    <row r="27" spans="3:6" x14ac:dyDescent="0.2">
      <c r="E27" s="3"/>
    </row>
    <row r="28" spans="3:6" x14ac:dyDescent="0.2">
      <c r="C28" s="4" t="s">
        <v>100</v>
      </c>
      <c r="D28" s="34">
        <f>I43*D19</f>
        <v>4.4000000000000004</v>
      </c>
    </row>
    <row r="29" spans="3:6" x14ac:dyDescent="0.2">
      <c r="C29" t="s">
        <v>4</v>
      </c>
      <c r="D29" s="1">
        <f>(((D15*D16)*D17)*D19*D18+D22*D19+D23*D19)*D24</f>
        <v>26</v>
      </c>
      <c r="E29" s="2" t="s">
        <v>12</v>
      </c>
      <c r="F29">
        <f>$B$1-D29</f>
        <v>70</v>
      </c>
    </row>
    <row r="30" spans="3:6" x14ac:dyDescent="0.2">
      <c r="C30" t="s">
        <v>81</v>
      </c>
      <c r="D30" s="1">
        <f>(D15*D17*D18)*D24*D16+(D22)+(D23*D15*D16*D17)+(D23*D15*D16*D17)</f>
        <v>13</v>
      </c>
      <c r="E30" s="3" t="str">
        <f>_xlfn.CONCAT(D31, " replicates with + ",D22," NTC"," + ",D23*D15*D16*D17, " NRT", " + ",D25, " extra well")</f>
        <v>12 replicates with + 1 NTC + 0 NRT + 0 extra well</v>
      </c>
    </row>
    <row r="31" spans="3:6" x14ac:dyDescent="0.2">
      <c r="C31" t="s">
        <v>82</v>
      </c>
      <c r="D31" s="1">
        <f>D17*D18*D19*D24*D16+D23*D15*D16*D17</f>
        <v>12</v>
      </c>
      <c r="F31" s="10"/>
    </row>
    <row r="32" spans="3:6" x14ac:dyDescent="0.2">
      <c r="F32" s="10"/>
    </row>
    <row r="33" spans="3:15" x14ac:dyDescent="0.2">
      <c r="C33" t="s">
        <v>97</v>
      </c>
      <c r="D33" s="5">
        <f>I43*D17</f>
        <v>6.6000000000000005</v>
      </c>
      <c r="E33" s="3" t="str">
        <f>_xlfn.CONCAT("considering the dilution 1:x, where x=",D10)</f>
        <v>considering the dilution 1:x, where x=3</v>
      </c>
    </row>
    <row r="34" spans="3:15" x14ac:dyDescent="0.2">
      <c r="C34" t="s">
        <v>141</v>
      </c>
      <c r="D34" s="1">
        <f>G41*D19</f>
        <v>286</v>
      </c>
    </row>
    <row r="35" spans="3:15" x14ac:dyDescent="0.2">
      <c r="C35" t="s">
        <v>89</v>
      </c>
      <c r="D35" s="1">
        <f>G44*D19</f>
        <v>211.64</v>
      </c>
    </row>
    <row r="36" spans="3:15" x14ac:dyDescent="0.2">
      <c r="D36" t="s">
        <v>90</v>
      </c>
      <c r="E36" s="1">
        <f>D35+D34</f>
        <v>497.64</v>
      </c>
    </row>
    <row r="38" spans="3:15" x14ac:dyDescent="0.2">
      <c r="C38" s="35"/>
      <c r="D38" s="35"/>
      <c r="E38" s="35"/>
      <c r="F38" s="35"/>
      <c r="G38" s="35"/>
      <c r="H38" s="35"/>
    </row>
    <row r="39" spans="3:15" x14ac:dyDescent="0.2">
      <c r="C39" s="43" t="s">
        <v>72</v>
      </c>
      <c r="D39" s="43"/>
      <c r="E39" s="43"/>
      <c r="F39" s="43"/>
      <c r="G39" s="43" t="s">
        <v>143</v>
      </c>
      <c r="H39" s="43"/>
      <c r="I39" s="43"/>
    </row>
    <row r="40" spans="3:15" x14ac:dyDescent="0.2">
      <c r="D40" s="13" t="s">
        <v>6</v>
      </c>
      <c r="E40" s="13" t="s">
        <v>7</v>
      </c>
      <c r="F40" s="13" t="s">
        <v>94</v>
      </c>
      <c r="G40" s="13" t="s">
        <v>95</v>
      </c>
      <c r="H40" s="31"/>
    </row>
    <row r="41" spans="3:15" x14ac:dyDescent="0.2">
      <c r="C41" s="2" t="s">
        <v>0</v>
      </c>
      <c r="D41" s="19">
        <v>2</v>
      </c>
      <c r="E41" s="19">
        <v>1</v>
      </c>
      <c r="F41" s="1">
        <f>(E41*$F$46)/$D41</f>
        <v>10</v>
      </c>
      <c r="G41" s="7">
        <f>(F41*($D$30+$D$26+$D$25))*$D$12</f>
        <v>143</v>
      </c>
      <c r="H41" s="33" t="str">
        <f>_xlfn.CONCAT("»» split in ", D15*D17*D16*D24," tube(s)", " »»")</f>
        <v>»» split in 6 tube(s) »»</v>
      </c>
      <c r="I41" s="39" t="s">
        <v>96</v>
      </c>
    </row>
    <row r="42" spans="3:15" x14ac:dyDescent="0.2">
      <c r="C42" s="2" t="s">
        <v>91</v>
      </c>
      <c r="D42" s="19">
        <v>10</v>
      </c>
      <c r="E42" s="19">
        <v>0.4</v>
      </c>
      <c r="F42" s="1">
        <f>(E42*$F$46)/$D42</f>
        <v>0.8</v>
      </c>
      <c r="G42" s="7">
        <f>(F42*($D$30+$D$26+$D$25))*$D$12</f>
        <v>11.440000000000001</v>
      </c>
      <c r="I42" s="40">
        <f>(G48*D18*D13)</f>
        <v>41.800000000000004</v>
      </c>
    </row>
    <row r="43" spans="3:15" x14ac:dyDescent="0.2">
      <c r="C43" s="2" t="s">
        <v>92</v>
      </c>
      <c r="D43" s="19">
        <v>10</v>
      </c>
      <c r="E43" s="19">
        <v>0.4</v>
      </c>
      <c r="F43" s="1">
        <f>(E43*$F$46)/$D43</f>
        <v>0.8</v>
      </c>
      <c r="G43" s="7">
        <f>(F43*($D$30+$D$26+$D$25))*$D$12</f>
        <v>11.440000000000001</v>
      </c>
      <c r="H43" s="2" t="s">
        <v>98</v>
      </c>
      <c r="I43" s="5">
        <f>$F$45*I42/$G$48</f>
        <v>2.2000000000000002</v>
      </c>
    </row>
    <row r="44" spans="3:15" x14ac:dyDescent="0.2">
      <c r="C44" s="2" t="s">
        <v>1</v>
      </c>
      <c r="D44" s="20" t="s">
        <v>46</v>
      </c>
      <c r="E44" s="20" t="s">
        <v>46</v>
      </c>
      <c r="F44" s="1">
        <f>F46-SUM(F41:F43)-F45</f>
        <v>7.3999999999999986</v>
      </c>
      <c r="G44" s="7">
        <f>(F44*($D$30+$D$26+$D$25))*$D$12</f>
        <v>105.82</v>
      </c>
    </row>
    <row r="45" spans="3:15" x14ac:dyDescent="0.2">
      <c r="C45" s="2" t="s">
        <v>98</v>
      </c>
      <c r="D45" s="20" t="s">
        <v>46</v>
      </c>
      <c r="E45" s="20" t="s">
        <v>46</v>
      </c>
      <c r="F45" s="17">
        <v>1</v>
      </c>
      <c r="G45" s="3" t="str">
        <f>_xlfn.CONCAT("total volume = ",SUM(G41:G44)," µL")</f>
        <v>total volume = 271.7 µL</v>
      </c>
      <c r="H45" s="33" t="str">
        <f>IF(D22=0,_xlfn.CONCAT("»» split in ", 0," tubes", " »»"),_xlfn.CONCAT("»» split in ",D22/D22," tube(s)", " »»"))</f>
        <v>»» split in 1 tube(s) »»</v>
      </c>
      <c r="I45" s="39" t="s">
        <v>105</v>
      </c>
      <c r="O45" s="7"/>
    </row>
    <row r="46" spans="3:15" x14ac:dyDescent="0.2">
      <c r="E46" t="s">
        <v>8</v>
      </c>
      <c r="F46" s="19">
        <v>20</v>
      </c>
      <c r="I46" s="39">
        <f>($G$48*$D$13)*$D$22</f>
        <v>20.900000000000002</v>
      </c>
    </row>
    <row r="47" spans="3:15" x14ac:dyDescent="0.2">
      <c r="D47" s="3" t="s">
        <v>93</v>
      </c>
      <c r="E47" s="3">
        <f>SUM(F41:F45)</f>
        <v>20</v>
      </c>
      <c r="F47" s="3" t="s">
        <v>106</v>
      </c>
      <c r="G47" s="36">
        <f>SUM(G41:G44)</f>
        <v>271.7</v>
      </c>
      <c r="H47" s="2" t="s">
        <v>1</v>
      </c>
      <c r="I47">
        <f>$F$45*I46/$G$48</f>
        <v>1.1000000000000001</v>
      </c>
      <c r="J47" s="32"/>
    </row>
    <row r="48" spans="3:15" x14ac:dyDescent="0.2">
      <c r="D48" s="3" t="s">
        <v>99</v>
      </c>
      <c r="E48" s="3">
        <f>F46-SUM(F41:F43)</f>
        <v>8.3999999999999986</v>
      </c>
      <c r="F48" s="3" t="s">
        <v>107</v>
      </c>
      <c r="G48" s="3">
        <f>F46-F45</f>
        <v>19</v>
      </c>
      <c r="H48" s="33" t="str">
        <f>IF(D23=0,_xlfn.CONCAT("»» split in ", 0," tube(s)", " »»"),_xlfn.CONCAT("»» split in ",(D15*D16*D17)," tubes", " »»"))</f>
        <v>»» split in 0 tube(s) »»</v>
      </c>
      <c r="I48" s="39" t="s">
        <v>101</v>
      </c>
    </row>
    <row r="49" spans="4:10" x14ac:dyDescent="0.2">
      <c r="D49" s="43"/>
      <c r="E49" s="43"/>
      <c r="F49" s="43"/>
      <c r="G49" s="43"/>
      <c r="I49" s="39">
        <f>($D$23*$G$48)*$D$13</f>
        <v>0</v>
      </c>
    </row>
    <row r="50" spans="4:10" hidden="1" x14ac:dyDescent="0.2">
      <c r="D50" s="28"/>
      <c r="E50" s="28"/>
      <c r="F50" s="21" t="s">
        <v>77</v>
      </c>
      <c r="I50" s="1">
        <f>F45*I49/$G$48</f>
        <v>0</v>
      </c>
    </row>
    <row r="51" spans="4:10" hidden="1" x14ac:dyDescent="0.2">
      <c r="D51" s="3" t="s">
        <v>45</v>
      </c>
      <c r="E51" s="24">
        <f>I8</f>
        <v>5</v>
      </c>
      <c r="F51" s="27">
        <f>E51*E48</f>
        <v>41.999999999999993</v>
      </c>
    </row>
    <row r="52" spans="4:10" hidden="1" x14ac:dyDescent="0.2">
      <c r="D52" s="3" t="s">
        <v>43</v>
      </c>
      <c r="E52" s="25">
        <f>E51/E57</f>
        <v>0.25</v>
      </c>
      <c r="F52" s="26">
        <f>$F$51/($D$10*($F$56/$E$56))</f>
        <v>1.7499999999999998</v>
      </c>
      <c r="G52" s="3" t="str">
        <f>_xlfn.CONCAT("for the max volume of template = ",F46-SUM(F41:F43), " uL")</f>
        <v>for the max volume of template = 8.4 uL</v>
      </c>
    </row>
    <row r="53" spans="4:10" hidden="1" x14ac:dyDescent="0.2">
      <c r="D53" s="3" t="s">
        <v>44</v>
      </c>
      <c r="E53" s="25">
        <f>E51-E52</f>
        <v>4.75</v>
      </c>
      <c r="F53" s="26">
        <f>F51-F52</f>
        <v>40.249999999999993</v>
      </c>
    </row>
    <row r="54" spans="4:10" hidden="1" x14ac:dyDescent="0.2">
      <c r="D54" s="3"/>
      <c r="E54" s="21" t="s">
        <v>21</v>
      </c>
      <c r="F54" s="21" t="s">
        <v>73</v>
      </c>
    </row>
    <row r="55" spans="4:10" hidden="1" x14ac:dyDescent="0.2">
      <c r="D55" s="3" t="s">
        <v>20</v>
      </c>
      <c r="E55" s="3">
        <f>SUM(F41:F44)/SUM(F41:F45)*100</f>
        <v>95</v>
      </c>
      <c r="F55" s="3">
        <v>60</v>
      </c>
    </row>
    <row r="56" spans="4:10" hidden="1" x14ac:dyDescent="0.2">
      <c r="D56" s="3" t="s">
        <v>19</v>
      </c>
      <c r="E56" s="3">
        <f>F45/SUM(F41:F45)*100</f>
        <v>5</v>
      </c>
      <c r="F56" s="3">
        <v>40</v>
      </c>
    </row>
    <row r="57" spans="4:10" hidden="1" x14ac:dyDescent="0.2">
      <c r="D57" s="3" t="s">
        <v>76</v>
      </c>
      <c r="E57" s="12">
        <f>1/(SUM(F45)/20)</f>
        <v>20</v>
      </c>
      <c r="F57" s="12">
        <f>1/(SUM(F44:F45)/F46)</f>
        <v>2.3809523809523814</v>
      </c>
    </row>
    <row r="58" spans="4:10" x14ac:dyDescent="0.2">
      <c r="H58" s="2" t="s">
        <v>102</v>
      </c>
      <c r="I58">
        <f>I49*F45/G48</f>
        <v>0</v>
      </c>
    </row>
    <row r="59" spans="4:10" x14ac:dyDescent="0.2">
      <c r="H59" s="2" t="s">
        <v>148</v>
      </c>
      <c r="I59" s="7">
        <f>G48*D13*D25</f>
        <v>0</v>
      </c>
      <c r="J59" s="11" t="str">
        <f>_xlfn.CONCAT("enough for ", I59/(G48*D13), " well(s)")</f>
        <v>enough for 0 well(s)</v>
      </c>
    </row>
    <row r="60" spans="4:10" x14ac:dyDescent="0.2">
      <c r="G60" s="44" t="s">
        <v>108</v>
      </c>
      <c r="H60" s="44"/>
      <c r="I60" s="11">
        <f>I42*(D15*D17*D16*D24)+I46*(D22/D22)+I49*(D15*D16*D17)+I59</f>
        <v>271.7</v>
      </c>
    </row>
    <row r="61" spans="4:10" x14ac:dyDescent="0.2">
      <c r="H61" s="3" t="s">
        <v>110</v>
      </c>
      <c r="I61" s="11">
        <f>G47-I60</f>
        <v>0</v>
      </c>
    </row>
  </sheetData>
  <mergeCells count="10">
    <mergeCell ref="A5:B5"/>
    <mergeCell ref="G60:H60"/>
    <mergeCell ref="C4:J4"/>
    <mergeCell ref="C3:J3"/>
    <mergeCell ref="D49:G49"/>
    <mergeCell ref="H7:I7"/>
    <mergeCell ref="H11:I11"/>
    <mergeCell ref="G39:I39"/>
    <mergeCell ref="C5:J5"/>
    <mergeCell ref="C39:F39"/>
  </mergeCells>
  <phoneticPr fontId="2" type="noConversion"/>
  <conditionalFormatting sqref="E55:F56">
    <cfRule type="duplicateValues" dxfId="2" priority="4"/>
  </conditionalFormatting>
  <conditionalFormatting sqref="E47">
    <cfRule type="cellIs" dxfId="1" priority="2" operator="equal">
      <formula>$F$46</formula>
    </cfRule>
  </conditionalFormatting>
  <conditionalFormatting sqref="I60">
    <cfRule type="cellIs" dxfId="0" priority="1" operator="greaterThan">
      <formula>$G$47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E13:Z32"/>
  <sheetViews>
    <sheetView topLeftCell="A10" zoomScale="80" zoomScaleNormal="80" workbookViewId="0">
      <selection activeCell="E39" sqref="E39"/>
    </sheetView>
  </sheetViews>
  <sheetFormatPr defaultRowHeight="14.25" x14ac:dyDescent="0.2"/>
  <cols>
    <col min="8" max="8" width="13.5" bestFit="1" customWidth="1"/>
  </cols>
  <sheetData>
    <row r="13" spans="8:20" x14ac:dyDescent="0.2">
      <c r="H13" t="s">
        <v>9</v>
      </c>
      <c r="I13" t="s">
        <v>63</v>
      </c>
      <c r="J13" t="s">
        <v>103</v>
      </c>
      <c r="K13" t="s">
        <v>120</v>
      </c>
      <c r="L13" t="s">
        <v>121</v>
      </c>
      <c r="M13" t="s">
        <v>122</v>
      </c>
      <c r="N13" t="s">
        <v>123</v>
      </c>
      <c r="O13" t="s">
        <v>124</v>
      </c>
      <c r="P13" t="s">
        <v>125</v>
      </c>
      <c r="Q13" t="s">
        <v>126</v>
      </c>
      <c r="R13" t="s">
        <v>127</v>
      </c>
      <c r="S13" t="s">
        <v>128</v>
      </c>
      <c r="T13" t="s">
        <v>129</v>
      </c>
    </row>
    <row r="14" spans="8:20" x14ac:dyDescent="0.2">
      <c r="H14" s="2" t="s">
        <v>104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8:20" x14ac:dyDescent="0.2">
      <c r="H15" s="2" t="s">
        <v>112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8:20" x14ac:dyDescent="0.2">
      <c r="H16" s="2" t="s">
        <v>113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5:26" x14ac:dyDescent="0.2">
      <c r="H17" s="2" t="s">
        <v>114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5:26" x14ac:dyDescent="0.2">
      <c r="H18" s="2" t="s">
        <v>115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5:26" x14ac:dyDescent="0.2">
      <c r="H19" s="2" t="s">
        <v>116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5:26" x14ac:dyDescent="0.2">
      <c r="H20" s="2" t="s">
        <v>117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5:26" x14ac:dyDescent="0.2">
      <c r="H21" s="2" t="s">
        <v>118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5:26" x14ac:dyDescent="0.2">
      <c r="H22" s="2" t="s">
        <v>119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8" spans="5:26" x14ac:dyDescent="0.2">
      <c r="E28" s="48" t="s">
        <v>130</v>
      </c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31" spans="5:26" x14ac:dyDescent="0.2">
      <c r="F31" t="s">
        <v>131</v>
      </c>
    </row>
    <row r="32" spans="5:26" x14ac:dyDescent="0.2">
      <c r="F32" t="s">
        <v>132</v>
      </c>
    </row>
  </sheetData>
  <mergeCells count="1">
    <mergeCell ref="E28:Z28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4.25" x14ac:dyDescent="0.2"/>
  <cols>
    <col min="1" max="1" width="23.5" bestFit="1" customWidth="1"/>
  </cols>
  <sheetData>
    <row r="1" spans="1:1" x14ac:dyDescent="0.2">
      <c r="A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1:H1"/>
  <sheetViews>
    <sheetView workbookViewId="0">
      <selection activeCell="G1" sqref="G1:G1048576"/>
    </sheetView>
  </sheetViews>
  <sheetFormatPr defaultRowHeight="14.25" x14ac:dyDescent="0.2"/>
  <cols>
    <col min="1" max="1" width="8.875" bestFit="1" customWidth="1"/>
    <col min="3" max="3" width="10.375" bestFit="1" customWidth="1"/>
    <col min="4" max="6" width="16.5" customWidth="1"/>
    <col min="7" max="7" width="8.625" customWidth="1"/>
  </cols>
  <sheetData>
    <row r="1" spans="1:8" x14ac:dyDescent="0.2">
      <c r="A1" s="13" t="s">
        <v>51</v>
      </c>
      <c r="B1" s="13" t="s">
        <v>52</v>
      </c>
      <c r="C1" s="13" t="s">
        <v>53</v>
      </c>
      <c r="D1" s="13" t="s">
        <v>54</v>
      </c>
      <c r="E1" s="13" t="s">
        <v>144</v>
      </c>
      <c r="F1" s="13" t="s">
        <v>55</v>
      </c>
      <c r="G1" s="13" t="s">
        <v>57</v>
      </c>
      <c r="H1" s="13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4.25" x14ac:dyDescent="0.2"/>
  <sheetData>
    <row r="2" spans="2:7" x14ac:dyDescent="0.2">
      <c r="B2" s="50" t="s">
        <v>79</v>
      </c>
      <c r="C2" s="50"/>
      <c r="D2" s="50"/>
      <c r="E2" s="50"/>
      <c r="F2" s="50"/>
      <c r="G2" s="50"/>
    </row>
    <row r="3" spans="2:7" x14ac:dyDescent="0.2">
      <c r="B3" s="30"/>
      <c r="C3" s="30"/>
      <c r="D3" s="30"/>
      <c r="E3" s="30"/>
      <c r="F3" s="30"/>
      <c r="G3" s="30"/>
    </row>
    <row r="4" spans="2:7" x14ac:dyDescent="0.2">
      <c r="B4" s="4" t="s">
        <v>134</v>
      </c>
      <c r="D4" t="s">
        <v>32</v>
      </c>
      <c r="E4" t="s">
        <v>33</v>
      </c>
      <c r="F4" t="s">
        <v>34</v>
      </c>
      <c r="G4" t="s">
        <v>40</v>
      </c>
    </row>
    <row r="5" spans="2:7" x14ac:dyDescent="0.2">
      <c r="B5" s="4"/>
      <c r="C5" t="s">
        <v>28</v>
      </c>
      <c r="D5">
        <v>95</v>
      </c>
      <c r="E5">
        <v>30</v>
      </c>
      <c r="F5">
        <v>1</v>
      </c>
      <c r="G5">
        <f>E5*F5</f>
        <v>30</v>
      </c>
    </row>
    <row r="6" spans="2:7" x14ac:dyDescent="0.2">
      <c r="B6" s="4"/>
      <c r="C6" t="s">
        <v>29</v>
      </c>
      <c r="D6">
        <v>95</v>
      </c>
      <c r="E6">
        <v>5</v>
      </c>
      <c r="F6">
        <v>40</v>
      </c>
      <c r="G6">
        <f>E6*F6</f>
        <v>200</v>
      </c>
    </row>
    <row r="7" spans="2:7" x14ac:dyDescent="0.2">
      <c r="C7" t="s">
        <v>30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2">
      <c r="C8" t="s">
        <v>31</v>
      </c>
    </row>
    <row r="9" spans="2:7" x14ac:dyDescent="0.2">
      <c r="D9" t="s">
        <v>35</v>
      </c>
      <c r="E9" t="s">
        <v>36</v>
      </c>
      <c r="F9">
        <v>60</v>
      </c>
    </row>
    <row r="10" spans="2:7" x14ac:dyDescent="0.2">
      <c r="E10" t="s">
        <v>37</v>
      </c>
      <c r="F10">
        <v>95</v>
      </c>
    </row>
    <row r="11" spans="2:7" x14ac:dyDescent="0.2">
      <c r="E11" t="s">
        <v>39</v>
      </c>
      <c r="F11" s="7">
        <v>0.6</v>
      </c>
    </row>
    <row r="12" spans="2:7" x14ac:dyDescent="0.2">
      <c r="E12" s="46" t="s">
        <v>41</v>
      </c>
      <c r="F12" s="46"/>
      <c r="G12" s="8">
        <f>SUM(G5:G7)/60+(F10-F9)*(1/F11)</f>
        <v>65.5</v>
      </c>
    </row>
    <row r="16" spans="2:7" x14ac:dyDescent="0.2">
      <c r="B16" s="50" t="s">
        <v>133</v>
      </c>
      <c r="C16" s="50"/>
      <c r="D16" s="50"/>
      <c r="E16" s="50"/>
      <c r="F16" s="50"/>
      <c r="G16" s="50"/>
    </row>
    <row r="17" spans="2:7" x14ac:dyDescent="0.2">
      <c r="B17" s="37"/>
      <c r="C17" s="37"/>
      <c r="D17" s="37"/>
      <c r="E17" s="37"/>
      <c r="F17" s="37"/>
      <c r="G17" s="37"/>
    </row>
    <row r="18" spans="2:7" x14ac:dyDescent="0.2">
      <c r="B18" s="4" t="s">
        <v>135</v>
      </c>
      <c r="D18" t="s">
        <v>32</v>
      </c>
      <c r="E18" t="s">
        <v>33</v>
      </c>
      <c r="F18" t="s">
        <v>34</v>
      </c>
      <c r="G18" t="s">
        <v>40</v>
      </c>
    </row>
    <row r="19" spans="2:7" x14ac:dyDescent="0.2">
      <c r="B19" s="4"/>
      <c r="C19" t="s">
        <v>28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2">
      <c r="B20" s="4"/>
      <c r="C20" t="s">
        <v>29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2">
      <c r="C21" t="s">
        <v>30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2">
      <c r="C22" t="s">
        <v>31</v>
      </c>
    </row>
    <row r="23" spans="2:7" x14ac:dyDescent="0.2">
      <c r="D23" t="s">
        <v>35</v>
      </c>
      <c r="E23" t="s">
        <v>36</v>
      </c>
      <c r="F23">
        <v>60</v>
      </c>
    </row>
    <row r="24" spans="2:7" x14ac:dyDescent="0.2">
      <c r="E24" t="s">
        <v>37</v>
      </c>
      <c r="F24">
        <v>95</v>
      </c>
    </row>
    <row r="25" spans="2:7" x14ac:dyDescent="0.2">
      <c r="E25" t="s">
        <v>39</v>
      </c>
      <c r="F25" s="7">
        <v>0.6</v>
      </c>
    </row>
    <row r="26" spans="2:7" x14ac:dyDescent="0.2">
      <c r="E26" s="46" t="s">
        <v>41</v>
      </c>
      <c r="F26" s="46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4.25" x14ac:dyDescent="0.2"/>
  <cols>
    <col min="1" max="1" width="9.375" bestFit="1" customWidth="1"/>
    <col min="2" max="2" width="9.125" bestFit="1" customWidth="1"/>
    <col min="3" max="3" width="10.5" bestFit="1" customWidth="1"/>
    <col min="4" max="4" width="14.125" bestFit="1" customWidth="1"/>
    <col min="5" max="5" width="16.75" style="13" bestFit="1" customWidth="1"/>
    <col min="6" max="6" width="9.75" bestFit="1" customWidth="1"/>
    <col min="8" max="8" width="9.125" bestFit="1" customWidth="1"/>
  </cols>
  <sheetData>
    <row r="1" spans="1:8" x14ac:dyDescent="0.2">
      <c r="A1" s="14" t="s">
        <v>51</v>
      </c>
      <c r="B1" s="14" t="s">
        <v>52</v>
      </c>
      <c r="C1" s="14" t="s">
        <v>53</v>
      </c>
      <c r="D1" s="14" t="s">
        <v>54</v>
      </c>
      <c r="E1" s="14" t="s">
        <v>55</v>
      </c>
      <c r="F1" s="14" t="s">
        <v>56</v>
      </c>
      <c r="G1" s="14" t="s">
        <v>57</v>
      </c>
      <c r="H1" s="14" t="s">
        <v>58</v>
      </c>
    </row>
    <row r="2" spans="1:8" x14ac:dyDescent="0.2">
      <c r="A2" s="15">
        <v>43745</v>
      </c>
      <c r="B2" s="3">
        <v>1</v>
      </c>
      <c r="C2" s="3">
        <v>1</v>
      </c>
      <c r="D2" s="3" t="s">
        <v>59</v>
      </c>
      <c r="E2" s="14">
        <v>1</v>
      </c>
      <c r="F2" s="3">
        <v>0</v>
      </c>
      <c r="G2" s="3" t="s">
        <v>10</v>
      </c>
      <c r="H2" s="3">
        <f t="shared" ref="H2:H17" ca="1" si="0">RANDBETWEEN(24,27)</f>
        <v>24</v>
      </c>
    </row>
    <row r="3" spans="1:8" x14ac:dyDescent="0.2">
      <c r="A3" s="15">
        <v>43745</v>
      </c>
      <c r="B3" s="3">
        <v>1</v>
      </c>
      <c r="C3" s="3">
        <v>1</v>
      </c>
      <c r="D3" s="3" t="s">
        <v>59</v>
      </c>
      <c r="E3" s="14">
        <v>2</v>
      </c>
      <c r="F3" s="3">
        <v>0</v>
      </c>
      <c r="G3" s="3" t="s">
        <v>10</v>
      </c>
      <c r="H3" s="3">
        <f t="shared" ca="1" si="0"/>
        <v>26</v>
      </c>
    </row>
    <row r="4" spans="1:8" x14ac:dyDescent="0.2">
      <c r="A4" s="15">
        <v>43745</v>
      </c>
      <c r="B4" s="3">
        <v>1</v>
      </c>
      <c r="C4" s="3">
        <v>1</v>
      </c>
      <c r="D4" s="3" t="s">
        <v>59</v>
      </c>
      <c r="E4" s="14">
        <v>1</v>
      </c>
      <c r="F4" s="3">
        <v>0</v>
      </c>
      <c r="G4" s="3" t="s">
        <v>60</v>
      </c>
      <c r="H4" s="3">
        <f t="shared" ca="1" si="0"/>
        <v>25</v>
      </c>
    </row>
    <row r="5" spans="1:8" x14ac:dyDescent="0.2">
      <c r="A5" s="15">
        <v>43745</v>
      </c>
      <c r="B5" s="3">
        <v>1</v>
      </c>
      <c r="C5" s="3">
        <v>1</v>
      </c>
      <c r="D5" s="3" t="s">
        <v>59</v>
      </c>
      <c r="E5" s="14">
        <v>2</v>
      </c>
      <c r="F5" s="3">
        <v>0</v>
      </c>
      <c r="G5" s="3" t="s">
        <v>60</v>
      </c>
      <c r="H5" s="3">
        <f t="shared" ca="1" si="0"/>
        <v>27</v>
      </c>
    </row>
    <row r="6" spans="1:8" x14ac:dyDescent="0.2">
      <c r="A6" s="15">
        <v>43745</v>
      </c>
      <c r="B6" s="3">
        <v>1</v>
      </c>
      <c r="C6" s="3">
        <v>1</v>
      </c>
      <c r="D6" s="3" t="s">
        <v>61</v>
      </c>
      <c r="E6" s="14">
        <v>1</v>
      </c>
      <c r="F6" s="3">
        <v>0</v>
      </c>
      <c r="G6" s="3" t="s">
        <v>10</v>
      </c>
      <c r="H6" s="3">
        <f t="shared" ca="1" si="0"/>
        <v>26</v>
      </c>
    </row>
    <row r="7" spans="1:8" x14ac:dyDescent="0.2">
      <c r="A7" s="15">
        <v>43745</v>
      </c>
      <c r="B7" s="3">
        <v>1</v>
      </c>
      <c r="C7" s="3">
        <v>1</v>
      </c>
      <c r="D7" s="3" t="s">
        <v>61</v>
      </c>
      <c r="E7" s="14">
        <v>2</v>
      </c>
      <c r="F7" s="3">
        <v>0</v>
      </c>
      <c r="G7" s="3" t="s">
        <v>10</v>
      </c>
      <c r="H7" s="3">
        <f t="shared" ca="1" si="0"/>
        <v>26</v>
      </c>
    </row>
    <row r="8" spans="1:8" x14ac:dyDescent="0.2">
      <c r="A8" s="15">
        <v>43745</v>
      </c>
      <c r="B8" s="3">
        <v>1</v>
      </c>
      <c r="C8" s="3">
        <v>1</v>
      </c>
      <c r="D8" s="3" t="s">
        <v>61</v>
      </c>
      <c r="E8" s="14">
        <v>1</v>
      </c>
      <c r="F8" s="3">
        <v>0</v>
      </c>
      <c r="G8" s="3" t="s">
        <v>60</v>
      </c>
      <c r="H8" s="3">
        <f t="shared" ca="1" si="0"/>
        <v>24</v>
      </c>
    </row>
    <row r="9" spans="1:8" x14ac:dyDescent="0.2">
      <c r="A9" s="15">
        <v>43745</v>
      </c>
      <c r="B9" s="3">
        <v>1</v>
      </c>
      <c r="C9" s="3">
        <v>1</v>
      </c>
      <c r="D9" s="3" t="s">
        <v>61</v>
      </c>
      <c r="E9" s="14">
        <v>2</v>
      </c>
      <c r="F9" s="3">
        <v>0</v>
      </c>
      <c r="G9" s="3" t="s">
        <v>60</v>
      </c>
      <c r="H9" s="3">
        <f t="shared" ca="1" si="0"/>
        <v>25</v>
      </c>
    </row>
    <row r="10" spans="1:8" x14ac:dyDescent="0.2">
      <c r="A10" s="15" t="s">
        <v>62</v>
      </c>
      <c r="B10" s="3">
        <v>2</v>
      </c>
      <c r="C10" s="3">
        <v>1</v>
      </c>
      <c r="D10" s="3" t="s">
        <v>59</v>
      </c>
      <c r="E10" s="14">
        <v>1</v>
      </c>
      <c r="F10" s="3">
        <v>48</v>
      </c>
      <c r="G10" s="3" t="s">
        <v>10</v>
      </c>
      <c r="H10" s="3">
        <f t="shared" ca="1" si="0"/>
        <v>25</v>
      </c>
    </row>
    <row r="11" spans="1:8" x14ac:dyDescent="0.2">
      <c r="A11" s="15" t="s">
        <v>62</v>
      </c>
      <c r="B11" s="3">
        <v>2</v>
      </c>
      <c r="C11" s="3">
        <v>1</v>
      </c>
      <c r="D11" s="3" t="s">
        <v>59</v>
      </c>
      <c r="E11" s="14">
        <v>2</v>
      </c>
      <c r="F11" s="3">
        <v>48</v>
      </c>
      <c r="G11" s="3" t="s">
        <v>10</v>
      </c>
      <c r="H11" s="3">
        <f t="shared" ca="1" si="0"/>
        <v>25</v>
      </c>
    </row>
    <row r="12" spans="1:8" x14ac:dyDescent="0.2">
      <c r="A12" s="15" t="s">
        <v>62</v>
      </c>
      <c r="B12" s="3">
        <v>2</v>
      </c>
      <c r="C12" s="3">
        <v>1</v>
      </c>
      <c r="D12" s="3" t="s">
        <v>59</v>
      </c>
      <c r="E12" s="14">
        <v>1</v>
      </c>
      <c r="F12" s="3">
        <v>48</v>
      </c>
      <c r="G12" s="3" t="s">
        <v>60</v>
      </c>
      <c r="H12" s="3">
        <f t="shared" ca="1" si="0"/>
        <v>26</v>
      </c>
    </row>
    <row r="13" spans="1:8" x14ac:dyDescent="0.2">
      <c r="A13" s="15" t="s">
        <v>62</v>
      </c>
      <c r="B13" s="3">
        <v>2</v>
      </c>
      <c r="C13" s="3">
        <v>1</v>
      </c>
      <c r="D13" s="3" t="s">
        <v>59</v>
      </c>
      <c r="E13" s="14">
        <v>2</v>
      </c>
      <c r="F13" s="3">
        <v>48</v>
      </c>
      <c r="G13" s="3" t="s">
        <v>60</v>
      </c>
      <c r="H13" s="3">
        <f t="shared" ca="1" si="0"/>
        <v>27</v>
      </c>
    </row>
    <row r="14" spans="1:8" x14ac:dyDescent="0.2">
      <c r="A14" s="15" t="s">
        <v>62</v>
      </c>
      <c r="B14" s="3">
        <v>2</v>
      </c>
      <c r="C14" s="3">
        <v>1</v>
      </c>
      <c r="D14" s="3" t="s">
        <v>61</v>
      </c>
      <c r="E14" s="14">
        <v>1</v>
      </c>
      <c r="F14" s="3">
        <v>48</v>
      </c>
      <c r="G14" s="3" t="s">
        <v>10</v>
      </c>
      <c r="H14" s="3">
        <f t="shared" ca="1" si="0"/>
        <v>26</v>
      </c>
    </row>
    <row r="15" spans="1:8" x14ac:dyDescent="0.2">
      <c r="A15" s="15" t="s">
        <v>62</v>
      </c>
      <c r="B15" s="3">
        <v>2</v>
      </c>
      <c r="C15" s="3">
        <v>1</v>
      </c>
      <c r="D15" s="3" t="s">
        <v>61</v>
      </c>
      <c r="E15" s="14">
        <v>2</v>
      </c>
      <c r="F15" s="3">
        <v>48</v>
      </c>
      <c r="G15" s="3" t="s">
        <v>10</v>
      </c>
      <c r="H15" s="3">
        <f t="shared" ca="1" si="0"/>
        <v>27</v>
      </c>
    </row>
    <row r="16" spans="1:8" x14ac:dyDescent="0.2">
      <c r="A16" s="15" t="s">
        <v>62</v>
      </c>
      <c r="B16" s="3">
        <v>2</v>
      </c>
      <c r="C16" s="3">
        <v>1</v>
      </c>
      <c r="D16" s="3" t="s">
        <v>61</v>
      </c>
      <c r="E16" s="14">
        <v>1</v>
      </c>
      <c r="F16" s="3">
        <v>48</v>
      </c>
      <c r="G16" s="3" t="s">
        <v>60</v>
      </c>
      <c r="H16" s="3">
        <f t="shared" ca="1" si="0"/>
        <v>25</v>
      </c>
    </row>
    <row r="17" spans="1:8" x14ac:dyDescent="0.2">
      <c r="A17" s="15" t="s">
        <v>62</v>
      </c>
      <c r="B17" s="3">
        <v>2</v>
      </c>
      <c r="C17" s="3">
        <v>1</v>
      </c>
      <c r="D17" s="3" t="s">
        <v>61</v>
      </c>
      <c r="E17" s="14">
        <v>2</v>
      </c>
      <c r="F17" s="3">
        <v>48</v>
      </c>
      <c r="G17" s="3" t="s">
        <v>60</v>
      </c>
      <c r="H17" s="3">
        <f t="shared" ca="1" si="0"/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cp:lastPrinted>2019-12-07T18:53:41Z</cp:lastPrinted>
  <dcterms:created xsi:type="dcterms:W3CDTF">2019-11-26T09:34:07Z</dcterms:created>
  <dcterms:modified xsi:type="dcterms:W3CDTF">2021-01-02T19:27:36Z</dcterms:modified>
</cp:coreProperties>
</file>