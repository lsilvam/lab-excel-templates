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1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Documents\GitHub\excel-lab-templates\"/>
    </mc:Choice>
  </mc:AlternateContent>
  <xr:revisionPtr revIDLastSave="0" documentId="13_ncr:1_{F188BBB3-B66B-4334-AC9B-4649C384A08D}" xr6:coauthVersionLast="45" xr6:coauthVersionMax="45" xr10:uidLastSave="{00000000-0000-0000-0000-000000000000}"/>
  <bookViews>
    <workbookView xWindow="4140" yWindow="1440" windowWidth="19455" windowHeight="13965" xr2:uid="{2A9194F3-D0E3-483A-A72A-E3A2AF061C18}"/>
  </bookViews>
  <sheets>
    <sheet name="experimental_design" sheetId="1" r:id="rId1"/>
    <sheet name="plate-layout" sheetId="2" r:id="rId2"/>
    <sheet name="raw_data_run#" sheetId="3" r:id="rId3"/>
    <sheet name="dataframe" sheetId="4" r:id="rId4"/>
    <sheet name="run_info" sheetId="6" r:id="rId5"/>
    <sheet name="tidy_pc_example" sheetId="5" state="hidden" r:id="rId6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experimental_design!$D$10</definedName>
    <definedName name="solver_typ" localSheetId="0" hidden="1">3</definedName>
    <definedName name="solver_val" localSheetId="0" hidden="1">56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G21" i="6" l="1"/>
  <c r="G26" i="6" s="1"/>
  <c r="G20" i="6"/>
  <c r="G19" i="6"/>
  <c r="D30" i="1" l="1"/>
  <c r="E30" i="1" l="1"/>
  <c r="H45" i="1" l="1"/>
  <c r="G48" i="1"/>
  <c r="I42" i="1" s="1"/>
  <c r="I43" i="1" l="1"/>
  <c r="I58" i="1"/>
  <c r="I59" i="1"/>
  <c r="I46" i="1"/>
  <c r="I47" i="1" s="1"/>
  <c r="I49" i="1"/>
  <c r="I50" i="1" s="1"/>
  <c r="H48" i="1"/>
  <c r="D28" i="1" l="1"/>
  <c r="I8" i="1" s="1"/>
  <c r="D33" i="1"/>
  <c r="H41" i="1"/>
  <c r="F42" i="1" l="1"/>
  <c r="G42" i="1" s="1"/>
  <c r="G7" i="6" l="1"/>
  <c r="G6" i="6"/>
  <c r="G5" i="6"/>
  <c r="I9" i="1"/>
  <c r="I10" i="1" s="1"/>
  <c r="E57" i="1"/>
  <c r="E51" i="1"/>
  <c r="D9" i="1"/>
  <c r="D11" i="1" s="1"/>
  <c r="E33" i="1"/>
  <c r="G12" i="6" l="1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D29" i="1" l="1"/>
  <c r="E52" i="1"/>
  <c r="E53" i="1" s="1"/>
  <c r="D31" i="1" l="1"/>
  <c r="F43" i="1"/>
  <c r="G43" i="1" s="1"/>
  <c r="F41" i="1"/>
  <c r="G41" i="1" s="1"/>
  <c r="D34" i="1" s="1"/>
  <c r="E48" i="1" l="1"/>
  <c r="F51" i="1" s="1"/>
  <c r="J8" i="1" s="1"/>
  <c r="G52" i="1"/>
  <c r="F44" i="1"/>
  <c r="G44" i="1" s="1"/>
  <c r="G47" i="1" l="1"/>
  <c r="G45" i="1"/>
  <c r="F57" i="1"/>
  <c r="E47" i="1"/>
  <c r="E56" i="1"/>
  <c r="F52" i="1" s="1"/>
  <c r="E55" i="1"/>
  <c r="D35" i="1" l="1"/>
  <c r="F53" i="1"/>
  <c r="J10" i="1" s="1"/>
  <c r="J9" i="1"/>
  <c r="F29" i="1"/>
  <c r="E36" i="1" l="1"/>
  <c r="H11" i="1" l="1"/>
  <c r="I60" i="1" l="1"/>
  <c r="I6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tc={4235E9E1-C2FA-44E6-94D4-D790F55DB0F0}</author>
    <author>tc={E41274F5-EAFC-435A-BB54-F08AD2329993}</author>
    <author>tc={37142383-3B29-4DE8-8C26-F3699868FC82}</author>
    <author>tc={44BEA620-4E9A-4707-A6FA-3CCBE74ADA59}</author>
  </authors>
  <commentList>
    <comment ref="J8" authorId="0" shapeId="0" xr:uid="{4235E9E1-C2FA-44E6-94D4-D790F55DB0F0}">
      <text>
        <t>[Threaded comment]
Your version of Excel allows you to read this threaded comment; however, any edits to it will get removed if the file is opened in a newer version of Excel. Learn more: https://go.microsoft.com/fwlink/?linkid=870924
Comment:
    If you were to prepare the volume in I7 you would need this volume to have a reaction were 40% of the reation volume is the sample, and 60 the supermix + primers.</t>
      </text>
    </comment>
    <comment ref="D9" authorId="1" shapeId="0" xr:uid="{E41274F5-EAFC-435A-BB54-F08AD2329993}">
      <text>
        <t>[Threaded comment]
Your version of Excel allows you to read this threaded comment; however, any edits to it will get removed if the file is opened in a newer version of Excel. Learn more: https://go.microsoft.com/fwlink/?linkid=870924
Comment:
    edit the volume of cDNA reaction volume if different from 20</t>
      </text>
    </comment>
    <comment ref="I9" authorId="2" shapeId="0" xr:uid="{37142383-3B29-4DE8-8C26-F3699868FC82}">
      <text>
        <t>[Threaded comment]
Your version of Excel allows you to read this threaded comment; however, any edits to it will get removed if the file is opened in a newer version of Excel. Learn more: https://go.microsoft.com/fwlink/?linkid=870924
Comment:
    Don't forget that the reverse transcriptase reaction is 20 uL only</t>
      </text>
    </comment>
    <comment ref="D13" authorId="3" shapeId="0" xr:uid="{44BEA620-4E9A-4707-A6FA-3CCBE74ADA59}">
      <text>
        <t>[Threaded comment]
Your version of Excel allows you to read this threaded comment; however, any edits to it will get removed if the file is opened in a newer version of Excel. Learn more: https://go.microsoft.com/fwlink/?linkid=870924
Comment:
    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>
      </text>
    </comment>
  </commentList>
</comments>
</file>

<file path=xl/sharedStrings.xml><?xml version="1.0" encoding="utf-8"?>
<sst xmlns="http://schemas.openxmlformats.org/spreadsheetml/2006/main" count="210" uniqueCount="148">
  <si>
    <t>sso fast Eva green</t>
  </si>
  <si>
    <t>water</t>
  </si>
  <si>
    <t>no. biological groups</t>
  </si>
  <si>
    <t>no. genes</t>
  </si>
  <si>
    <t>total no. of wells</t>
  </si>
  <si>
    <t>no. temp gradient</t>
  </si>
  <si>
    <t>stock concentration</t>
  </si>
  <si>
    <t>working concentration</t>
  </si>
  <si>
    <t>reaction volume (uL)</t>
  </si>
  <si>
    <t>conditionn/gene</t>
  </si>
  <si>
    <t>no. NTC well per gene</t>
  </si>
  <si>
    <t>gapdh</t>
  </si>
  <si>
    <t>sample ditulion 1:x</t>
  </si>
  <si>
    <t>wells left</t>
  </si>
  <si>
    <t>Starting information</t>
  </si>
  <si>
    <t>quantity of DNA assuming 1:1 in cDNA synthesis from RNA</t>
  </si>
  <si>
    <t>Experimental design</t>
  </si>
  <si>
    <t>plate wells</t>
  </si>
  <si>
    <t>dilution of cDNA (=1 if no dilution was made)</t>
  </si>
  <si>
    <t>multiplicative factor to have an extra volume</t>
  </si>
  <si>
    <t>% vol. sample</t>
  </si>
  <si>
    <t>% vol. mix</t>
  </si>
  <si>
    <t>real</t>
  </si>
  <si>
    <t>no template control; monitors contamination and primer-dimer formation</t>
  </si>
  <si>
    <t>no amplification control; monitors the background fluorescence</t>
  </si>
  <si>
    <t>target genes</t>
  </si>
  <si>
    <t>ref genes</t>
  </si>
  <si>
    <t xml:space="preserve">total number of genes </t>
  </si>
  <si>
    <t>target gene(s) to study</t>
  </si>
  <si>
    <t>reference gene(s) e.g. gapdh, hrp</t>
  </si>
  <si>
    <t>step 1</t>
  </si>
  <si>
    <t>step 2</t>
  </si>
  <si>
    <t>step 3</t>
  </si>
  <si>
    <t>step 4</t>
  </si>
  <si>
    <t>temp (ºC)</t>
  </si>
  <si>
    <t>time (s)</t>
  </si>
  <si>
    <t>repeats</t>
  </si>
  <si>
    <t>melting curve</t>
  </si>
  <si>
    <t>temp min</t>
  </si>
  <si>
    <t>temp max</t>
  </si>
  <si>
    <t>recommended 10 ng</t>
  </si>
  <si>
    <t>ºC/min</t>
  </si>
  <si>
    <t>step time (s)</t>
  </si>
  <si>
    <t>aprox. run time (min)</t>
  </si>
  <si>
    <t>DNA concentration assuming total vol. of 20 uL cDNA synthesis</t>
  </si>
  <si>
    <t>v sample (uL)</t>
  </si>
  <si>
    <t>v H2O (uL)</t>
  </si>
  <si>
    <t>v total (uL)</t>
  </si>
  <si>
    <t>-</t>
  </si>
  <si>
    <t xml:space="preserve">no. technical replicates </t>
  </si>
  <si>
    <t>wells per biological group to be measured</t>
  </si>
  <si>
    <t>no. biological replicates</t>
  </si>
  <si>
    <t>copy + paste raw data here. Create/add new sheets as necessary for each run</t>
  </si>
  <si>
    <t>date</t>
  </si>
  <si>
    <t>run</t>
  </si>
  <si>
    <t>biological_n</t>
  </si>
  <si>
    <t>biological_group</t>
  </si>
  <si>
    <t>technical_replicate</t>
  </si>
  <si>
    <t>time_point</t>
  </si>
  <si>
    <t>gene</t>
  </si>
  <si>
    <t>cq</t>
  </si>
  <si>
    <t>control</t>
  </si>
  <si>
    <t>cited2</t>
  </si>
  <si>
    <t>treatment1</t>
  </si>
  <si>
    <t>15/07/2019</t>
  </si>
  <si>
    <t>experiment target genes</t>
  </si>
  <si>
    <t>e.g control and treatment (=2)</t>
  </si>
  <si>
    <t>colour meaning:</t>
  </si>
  <si>
    <t>input cell (editable)</t>
  </si>
  <si>
    <t>output (calculation)</t>
  </si>
  <si>
    <t>no reverse transcriptase; monitors the amount of DNA contamination present in an RNA preparation, 2 wells</t>
  </si>
  <si>
    <t>e.g wells per gene per biological group</t>
  </si>
  <si>
    <t>standard/default</t>
  </si>
  <si>
    <t>Reaction recipe</t>
  </si>
  <si>
    <t>ideal (taylor et al 2019)</t>
  </si>
  <si>
    <t>is 1 by default, change if you want to run differente temps</t>
  </si>
  <si>
    <t xml:space="preserve">cDNA dilution </t>
  </si>
  <si>
    <t>template dil. In reaction vol. 1:x</t>
  </si>
  <si>
    <t>60:40 taylor ratio</t>
  </si>
  <si>
    <t>cDNA dilution 60:40 ratio</t>
  </si>
  <si>
    <t>file= //qPCR_standard_biorad.prcl</t>
  </si>
  <si>
    <t>experiment bio groups</t>
  </si>
  <si>
    <t>no. wells per gene</t>
  </si>
  <si>
    <t>no.wells per biogroup</t>
  </si>
  <si>
    <t>excess factor for no. of wells</t>
  </si>
  <si>
    <t>excess factor for volume splits</t>
  </si>
  <si>
    <t>template DNA (ng)</t>
  </si>
  <si>
    <t>template DNA per reaction (ng)</t>
  </si>
  <si>
    <t>[DNA template] (ng/µL)</t>
  </si>
  <si>
    <t>v H2O (µL)</t>
  </si>
  <si>
    <t>total sso fast Eva Green (µL)</t>
  </si>
  <si>
    <t>total water (µL)</t>
  </si>
  <si>
    <t>total vol. Eva + water (µL)</t>
  </si>
  <si>
    <t>primer fw (µM)</t>
  </si>
  <si>
    <t>primer rv (µM)</t>
  </si>
  <si>
    <t>volume check (µL)</t>
  </si>
  <si>
    <t>volume (µL)</t>
  </si>
  <si>
    <t>tube per gene (µL)</t>
  </si>
  <si>
    <t>tube per gene per bio groµp (µL)</t>
  </si>
  <si>
    <t>total template DNA needed per sample (µL)</t>
  </si>
  <si>
    <t>Tubes to prepare per gene</t>
  </si>
  <si>
    <t>template DNA</t>
  </si>
  <si>
    <t>max. volume DNA (µL)</t>
  </si>
  <si>
    <t>Total volume template DNA needed (µL)</t>
  </si>
  <si>
    <t>tube per NRT (µL)</t>
  </si>
  <si>
    <t>NRT sample</t>
  </si>
  <si>
    <t>tube per NTC (µL)</t>
  </si>
  <si>
    <t>total volume mix (uL)</t>
  </si>
  <si>
    <t>mix volume -template (uL)</t>
  </si>
  <si>
    <t>volume check per gene per biogroup (µL)</t>
  </si>
  <si>
    <t xml:space="preserve">no. extra wells per gene per group </t>
  </si>
  <si>
    <t>no. NRT well per gene</t>
  </si>
  <si>
    <t>for whatever reason</t>
  </si>
  <si>
    <t>no. NAC wells</t>
  </si>
  <si>
    <t>NAC well (extra volume)</t>
  </si>
  <si>
    <t>total volume check (µL)</t>
  </si>
  <si>
    <t>only change to &gt;1 if the cell above also is &gt;1, or if you consider extra wells</t>
  </si>
  <si>
    <t>Hellemans, J., Mortier, G., De Paepe, A., Speleman, F., and Vandesompele, J. (2007). qBase relative quantification framework and software for management and automated analysis of real-time quantitative PCR data. In Genome Biol, p. R19.</t>
  </si>
  <si>
    <t>GOI</t>
  </si>
  <si>
    <t>gene of interest</t>
  </si>
  <si>
    <t>file= //qPCR_standard_biorad_gDNA_chip.prcl</t>
  </si>
  <si>
    <t>mRNA</t>
  </si>
  <si>
    <t>gDNA</t>
  </si>
  <si>
    <t>v template (uL)</t>
  </si>
  <si>
    <t>no. time points -- individuals -- targets</t>
  </si>
  <si>
    <t>time points -- individuals -- targets</t>
  </si>
  <si>
    <t>number of time points to study, or individuals, or IP targets</t>
  </si>
  <si>
    <t>gene01</t>
  </si>
  <si>
    <t>gene02</t>
  </si>
  <si>
    <t>gene03</t>
  </si>
  <si>
    <t>gene04</t>
  </si>
  <si>
    <t>gene05</t>
  </si>
  <si>
    <t>gene06</t>
  </si>
  <si>
    <t>gene07</t>
  </si>
  <si>
    <t>gene08</t>
  </si>
  <si>
    <t>gene09</t>
  </si>
  <si>
    <t>gene10</t>
  </si>
  <si>
    <t>gene11</t>
  </si>
  <si>
    <t>gene12</t>
  </si>
  <si>
    <t>sample01</t>
  </si>
  <si>
    <t>sample02</t>
  </si>
  <si>
    <t>sample03</t>
  </si>
  <si>
    <t>sample04</t>
  </si>
  <si>
    <t>sample05</t>
  </si>
  <si>
    <t>sample06</t>
  </si>
  <si>
    <t>sample07</t>
  </si>
  <si>
    <t>sample08</t>
  </si>
  <si>
    <t>sample09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</si>
</sst>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Helvetica LT Std"/>
      <family val="2"/>
    </font>
    <font>
      <sz val="11"/>
      <color rgb="FF006100"/>
      <name val="Helvetica LT Std"/>
      <family val="2"/>
    </font>
    <font>
      <sz val="8"/>
      <name val="Helvetica LT Std"/>
      <family val="2"/>
    </font>
    <font>
      <i/>
      <sz val="11"/>
      <color rgb="FF7F7F7F"/>
      <name val="Helvetica LT Std"/>
      <family val="2"/>
    </font>
    <font>
      <b/>
      <sz val="11"/>
      <color theme="1"/>
      <name val="Helvetica LT Std"/>
      <family val="2"/>
    </font>
    <font>
      <sz val="11"/>
      <color rgb="FF00B050"/>
      <name val="Helvetica LT Std"/>
      <family val="2"/>
    </font>
    <font>
      <sz val="11"/>
      <color theme="1"/>
      <name val="Helvetica LT Std"/>
      <family val="2"/>
    </font>
    <font>
      <sz val="11"/>
      <color rgb="FF7F7F7F"/>
      <name val="Helvetica LT Std"/>
      <family val="2"/>
    </font>
    <font>
      <b/>
      <i/>
      <sz val="11"/>
      <color rgb="FF7F7F7F"/>
      <name val="Helvetica LT Std"/>
      <family val="2"/>
    </font>
    <font>
      <b/>
      <sz val="11"/>
      <color rgb="FF006100"/>
      <name val="Helvetica LT Std"/>
      <family val="2"/>
    </font>
    <font>
      <sz val="11"/>
      <color rgb="FF0070C0"/>
      <name val="Helvetica LT Std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1" applyNumberFormat="0" applyFont="0" applyAlignment="0" applyProtection="0"/>
  </cellStyleXfs>
  <cellXfs count="51">
    <xf numFmtId="0" fontId="0" fillId="0" borderId="0" xfId="0"/>
    <xf numFmtId="0" fontId="1" fillId="2" borderId="0" xfId="1"/>
    <xf numFmtId="0" fontId="0" fillId="0" borderId="0" xfId="0" applyAlignment="1">
      <alignment horizontal="right"/>
    </xf>
    <xf numFmtId="0" fontId="3" fillId="0" borderId="0" xfId="2"/>
    <xf numFmtId="0" fontId="4" fillId="0" borderId="0" xfId="0" applyFont="1"/>
    <xf numFmtId="2" fontId="1" fillId="2" borderId="0" xfId="1" applyNumberFormat="1"/>
    <xf numFmtId="0" fontId="7" fillId="0" borderId="0" xfId="2" applyFont="1"/>
    <xf numFmtId="2" fontId="0" fillId="0" borderId="0" xfId="0" applyNumberFormat="1"/>
    <xf numFmtId="164" fontId="0" fillId="0" borderId="0" xfId="0" applyNumberFormat="1"/>
    <xf numFmtId="2" fontId="5" fillId="0" borderId="0" xfId="0" applyNumberFormat="1" applyFont="1"/>
    <xf numFmtId="0" fontId="0" fillId="0" borderId="0" xfId="0" quotePrefix="1"/>
    <xf numFmtId="2" fontId="3" fillId="0" borderId="0" xfId="2" applyNumberFormat="1"/>
    <xf numFmtId="164" fontId="3" fillId="0" borderId="0" xfId="2" applyNumberFormat="1"/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14" fontId="3" fillId="0" borderId="0" xfId="2" applyNumberFormat="1"/>
    <xf numFmtId="0" fontId="6" fillId="3" borderId="0" xfId="3"/>
    <xf numFmtId="0" fontId="0" fillId="3" borderId="0" xfId="3" applyFont="1" applyAlignment="1">
      <alignment horizontal="center"/>
    </xf>
    <xf numFmtId="0" fontId="1" fillId="2" borderId="0" xfId="1" applyAlignment="1">
      <alignment horizontal="center"/>
    </xf>
    <xf numFmtId="0" fontId="6" fillId="4" borderId="0" xfId="4"/>
    <xf numFmtId="0" fontId="0" fillId="0" borderId="0" xfId="0" quotePrefix="1" applyAlignment="1">
      <alignment horizontal="center"/>
    </xf>
    <xf numFmtId="0" fontId="3" fillId="0" borderId="0" xfId="2" applyAlignment="1">
      <alignment horizontal="center"/>
    </xf>
    <xf numFmtId="0" fontId="6" fillId="4" borderId="0" xfId="4" applyAlignment="1">
      <alignment horizontal="center"/>
    </xf>
    <xf numFmtId="0" fontId="6" fillId="4" borderId="0" xfId="4" applyAlignment="1">
      <alignment horizontal="right"/>
    </xf>
    <xf numFmtId="0" fontId="3" fillId="3" borderId="0" xfId="2" applyFill="1"/>
    <xf numFmtId="2" fontId="3" fillId="2" borderId="0" xfId="2" applyNumberFormat="1" applyFill="1"/>
    <xf numFmtId="2" fontId="8" fillId="0" borderId="0" xfId="2" applyNumberFormat="1" applyFont="1"/>
    <xf numFmtId="0" fontId="8" fillId="0" borderId="0" xfId="2" applyFont="1"/>
    <xf numFmtId="0" fontId="3" fillId="0" borderId="0" xfId="2" applyAlignment="1"/>
    <xf numFmtId="0" fontId="0" fillId="0" borderId="0" xfId="0" applyAlignment="1"/>
    <xf numFmtId="0" fontId="3" fillId="0" borderId="0" xfId="2" applyAlignment="1">
      <alignment horizontal="left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8" fillId="0" borderId="0" xfId="2" applyFont="1" applyAlignment="1">
      <alignment horizontal="center"/>
    </xf>
    <xf numFmtId="2" fontId="9" fillId="2" borderId="0" xfId="1" applyNumberFormat="1" applyFont="1"/>
    <xf numFmtId="0" fontId="4" fillId="0" borderId="0" xfId="0" applyFont="1" applyAlignment="1">
      <alignment vertical="center"/>
    </xf>
    <xf numFmtId="2" fontId="3" fillId="0" borderId="0" xfId="2" applyNumberFormat="1" applyAlignment="1">
      <alignment horizontal="right"/>
    </xf>
    <xf numFmtId="0" fontId="3" fillId="0" borderId="0" xfId="2" applyAlignment="1">
      <alignment horizontal="left"/>
    </xf>
    <xf numFmtId="0" fontId="0" fillId="7" borderId="0" xfId="0" applyFill="1"/>
    <xf numFmtId="0" fontId="10" fillId="0" borderId="0" xfId="0" applyFont="1"/>
    <xf numFmtId="2" fontId="10" fillId="0" borderId="0" xfId="0" applyNumberFormat="1" applyFont="1"/>
    <xf numFmtId="0" fontId="1" fillId="2" borderId="0" xfId="1" applyAlignment="1">
      <alignment horizontal="right"/>
    </xf>
    <xf numFmtId="2" fontId="6" fillId="5" borderId="0" xfId="5" applyNumberFormat="1"/>
    <xf numFmtId="0" fontId="4" fillId="0" borderId="0" xfId="0" applyFont="1" applyAlignment="1">
      <alignment horizontal="center"/>
    </xf>
    <xf numFmtId="0" fontId="3" fillId="0" borderId="0" xfId="2" quotePrefix="1" applyAlignment="1">
      <alignment horizontal="center"/>
    </xf>
    <xf numFmtId="0" fontId="3" fillId="6" borderId="0" xfId="2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0" fillId="8" borderId="2" xfId="6" applyFont="1" applyBorder="1" applyAlignment="1">
      <alignment horizontal="center"/>
    </xf>
    <xf numFmtId="0" fontId="0" fillId="8" borderId="0" xfId="6" applyFont="1" applyBorder="1" applyAlignment="1">
      <alignment horizontal="center"/>
    </xf>
    <xf numFmtId="0" fontId="3" fillId="0" borderId="0" xfId="2" applyAlignment="1">
      <alignment horizontal="left"/>
    </xf>
  </cellXfs>
  <cellStyles count="7">
    <cellStyle name="20% - Accent1" xfId="3" builtinId="30"/>
    <cellStyle name="20% - Accent2" xfId="4" builtinId="34"/>
    <cellStyle name="20% - Accent6" xfId="5" builtinId="50"/>
    <cellStyle name="Explanatory Text" xfId="2" builtinId="53"/>
    <cellStyle name="Good" xfId="1" builtinId="26"/>
    <cellStyle name="Normal" xfId="0" builtinId="0"/>
    <cellStyle name="Note" xfId="6" builtinId="10"/>
  </cellStyles>
  <dxfs count="3">
    <dxf>
      <fill>
        <patternFill>
          <bgColor rgb="FFFFA3A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A3A3"/>
      <color rgb="FFFAF771"/>
      <color rgb="FFF433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419100</xdr:colOff>
      <xdr:row>28</xdr:row>
      <xdr:rowOff>123825</xdr:rowOff>
    </xdr:from>
    <xdr:to>
      <xdr:col>19</xdr:col>
      <xdr:colOff>678657</xdr:colOff>
      <xdr:row>70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EBCA69-7CBF-42A9-AB82-0B7A500EF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5057775"/>
          <a:ext cx="9005888" cy="7372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1C32BEF1-2BDE-4FE6-A49B-64A5B055D6B4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8" dT="2019-12-07T20:43:19.13" personId="{1C32BEF1-2BDE-4FE6-A49B-64A5B055D6B4}" id="{4235E9E1-C2FA-44E6-94D4-D790F55DB0F0}">
    <text>If you were to prepare the volume in I7 you would need this volume to have a reaction were 40% of the reation volume is the sample, and 60 the supermix + primers.</text>
  </threadedComment>
  <threadedComment ref="D9" dT="2019-12-07T18:57:25.74" personId="{1C32BEF1-2BDE-4FE6-A49B-64A5B055D6B4}" id="{E41274F5-EAFC-435A-BB54-F08AD2329993}">
    <text>edit the volume of cDNA reaction volume if different from 20</text>
  </threadedComment>
  <threadedComment ref="I9" dT="2019-12-07T20:48:28.77" personId="{1C32BEF1-2BDE-4FE6-A49B-64A5B055D6B4}" id="{37142383-3B29-4DE8-8C26-F3699868FC82}">
    <text>Don't forget that the reverse transcriptase reaction is 20 uL only</text>
  </threadedComment>
  <threadedComment ref="D13" dT="2020-01-29T21:22:36.19" personId="{1C32BEF1-2BDE-4FE6-A49B-64A5B055D6B4}" id="{44BEA620-4E9A-4707-A6FA-3CCBE74ADA59}">
    <text>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3F959-CCB6-4504-B0B7-0AABE300936A}">
  <sheetPr>
    <tabColor rgb="FFFFFF00"/>
  </sheetPr>
  <dimension ref="A1:O61"/>
  <sheetViews>
    <sheetView tabSelected="1" zoomScale="85" zoomScaleNormal="85" workbookViewId="0">
      <selection activeCell="D23" sqref="D23"/>
    </sheetView>
  </sheetViews>
  <sheetFormatPr defaultRowHeight="14.25" x14ac:dyDescent="0.2"/>
  <cols>
    <col min="2" max="2" width="24.75" bestFit="1" customWidth="1"/>
    <col min="3" max="3" width="36.75" bestFit="1" customWidth="1"/>
    <col min="4" max="4" width="27.125" bestFit="1" customWidth="1"/>
    <col min="5" max="5" width="20.75" bestFit="1" customWidth="1"/>
    <col min="6" max="6" width="22.125" bestFit="1" customWidth="1"/>
    <col min="7" max="7" width="21" customWidth="1"/>
    <col min="8" max="8" width="27" bestFit="1" customWidth="1"/>
    <col min="9" max="9" width="29.125" bestFit="1" customWidth="1"/>
    <col min="10" max="10" width="27" bestFit="1" customWidth="1"/>
    <col min="11" max="11" width="11.75" bestFit="1" customWidth="1"/>
    <col min="12" max="12" width="11.5" bestFit="1" customWidth="1"/>
    <col min="13" max="13" width="17.5" bestFit="1" customWidth="1"/>
    <col min="14" max="14" width="10.75" bestFit="1" customWidth="1"/>
    <col min="16" max="16" width="10.75" bestFit="1" customWidth="1"/>
  </cols>
  <sheetData>
    <row r="1" spans="1:11" x14ac:dyDescent="0.2">
      <c r="A1" t="s">
        <v>17</v>
      </c>
      <c r="B1">
        <v>96</v>
      </c>
      <c r="C1" s="2" t="s">
        <v>67</v>
      </c>
      <c r="D1" s="17" t="s">
        <v>68</v>
      </c>
      <c r="E1" s="18" t="s">
        <v>69</v>
      </c>
      <c r="F1" s="22" t="s">
        <v>72</v>
      </c>
    </row>
    <row r="3" spans="1:11" x14ac:dyDescent="0.2">
      <c r="B3" s="4" t="s">
        <v>65</v>
      </c>
      <c r="C3" s="45"/>
      <c r="D3" s="45"/>
      <c r="E3" s="45"/>
      <c r="F3" s="45"/>
      <c r="G3" s="45"/>
      <c r="H3" s="45"/>
      <c r="I3" s="45"/>
      <c r="J3" s="45"/>
    </row>
    <row r="4" spans="1:11" x14ac:dyDescent="0.2">
      <c r="B4" s="4" t="s">
        <v>81</v>
      </c>
      <c r="C4" s="45"/>
      <c r="D4" s="45"/>
      <c r="E4" s="45"/>
      <c r="F4" s="45"/>
      <c r="G4" s="45"/>
      <c r="H4" s="45"/>
      <c r="I4" s="45"/>
      <c r="J4" s="45"/>
    </row>
    <row r="5" spans="1:11" x14ac:dyDescent="0.2">
      <c r="A5" s="43" t="s">
        <v>125</v>
      </c>
      <c r="B5" s="43"/>
      <c r="C5" s="45"/>
      <c r="D5" s="45"/>
      <c r="E5" s="45"/>
      <c r="F5" s="45"/>
      <c r="G5" s="45"/>
      <c r="H5" s="45"/>
      <c r="I5" s="45"/>
      <c r="J5" s="45"/>
    </row>
    <row r="7" spans="1:11" x14ac:dyDescent="0.2">
      <c r="B7" s="4" t="s">
        <v>14</v>
      </c>
      <c r="H7" s="46" t="s">
        <v>76</v>
      </c>
      <c r="I7" s="46"/>
      <c r="J7" s="28" t="s">
        <v>79</v>
      </c>
      <c r="K7" s="29"/>
    </row>
    <row r="8" spans="1:11" x14ac:dyDescent="0.2">
      <c r="C8" t="s">
        <v>86</v>
      </c>
      <c r="D8" s="16">
        <v>1000</v>
      </c>
      <c r="E8" s="3" t="s">
        <v>15</v>
      </c>
      <c r="H8" t="s">
        <v>47</v>
      </c>
      <c r="I8" s="41">
        <f>ROUND(D28*D13,0)</f>
        <v>2</v>
      </c>
      <c r="J8" s="3">
        <f>F51</f>
        <v>16.799999999999997</v>
      </c>
    </row>
    <row r="9" spans="1:11" x14ac:dyDescent="0.2">
      <c r="C9" t="s">
        <v>88</v>
      </c>
      <c r="D9" s="23">
        <f>$D$8/20</f>
        <v>50</v>
      </c>
      <c r="E9" s="6" t="s">
        <v>44</v>
      </c>
      <c r="H9" t="s">
        <v>123</v>
      </c>
      <c r="I9" s="42">
        <f>$I$8/$D$10</f>
        <v>0.4</v>
      </c>
      <c r="J9" s="11">
        <f>F52</f>
        <v>0.41999999999999993</v>
      </c>
    </row>
    <row r="10" spans="1:11" x14ac:dyDescent="0.2">
      <c r="C10" t="s">
        <v>12</v>
      </c>
      <c r="D10" s="16">
        <v>5</v>
      </c>
      <c r="E10" s="3" t="s">
        <v>18</v>
      </c>
      <c r="H10" t="s">
        <v>89</v>
      </c>
      <c r="I10" s="42">
        <f>$I$8-$I$9</f>
        <v>1.6</v>
      </c>
      <c r="J10" s="11">
        <f>F53</f>
        <v>16.379999999999995</v>
      </c>
    </row>
    <row r="11" spans="1:11" x14ac:dyDescent="0.2">
      <c r="C11" t="s">
        <v>87</v>
      </c>
      <c r="D11" s="9">
        <f>$F$45*($D$9/$D$10)</f>
        <v>10</v>
      </c>
      <c r="E11" s="3" t="s">
        <v>40</v>
      </c>
      <c r="H11" s="47" t="str">
        <f>_xlfn.CONCAT("min. vol. needed per gene per biogroup per time point ",ROUNDUP(D33,2)," uL")</f>
        <v>min. vol. needed per gene per biogroup per time point 1.1 uL</v>
      </c>
      <c r="I11" s="47"/>
      <c r="J11" s="21"/>
    </row>
    <row r="12" spans="1:11" x14ac:dyDescent="0.2">
      <c r="C12" t="s">
        <v>84</v>
      </c>
      <c r="D12" s="16">
        <v>1.1000000000000001</v>
      </c>
      <c r="E12" s="3" t="s">
        <v>19</v>
      </c>
      <c r="I12">
        <v>1.2</v>
      </c>
    </row>
    <row r="13" spans="1:11" x14ac:dyDescent="0.2">
      <c r="C13" t="s">
        <v>85</v>
      </c>
      <c r="D13" s="16">
        <v>1.1000000000000001</v>
      </c>
      <c r="E13" s="3" t="s">
        <v>116</v>
      </c>
      <c r="I13">
        <v>1.05</v>
      </c>
    </row>
    <row r="15" spans="1:11" x14ac:dyDescent="0.2">
      <c r="B15" s="4" t="s">
        <v>16</v>
      </c>
      <c r="C15" t="s">
        <v>2</v>
      </c>
      <c r="D15" s="16">
        <v>1</v>
      </c>
      <c r="E15" s="3" t="s">
        <v>66</v>
      </c>
    </row>
    <row r="16" spans="1:11" x14ac:dyDescent="0.2">
      <c r="B16" s="4"/>
      <c r="C16" t="s">
        <v>124</v>
      </c>
      <c r="D16" s="16">
        <v>1</v>
      </c>
      <c r="E16" s="3" t="s">
        <v>126</v>
      </c>
    </row>
    <row r="17" spans="3:6" x14ac:dyDescent="0.2">
      <c r="C17" t="s">
        <v>51</v>
      </c>
      <c r="D17" s="16">
        <v>1</v>
      </c>
      <c r="E17" s="3" t="s">
        <v>71</v>
      </c>
    </row>
    <row r="18" spans="3:6" x14ac:dyDescent="0.2">
      <c r="C18" t="s">
        <v>49</v>
      </c>
      <c r="D18" s="16">
        <v>1</v>
      </c>
      <c r="E18" s="3" t="s">
        <v>50</v>
      </c>
    </row>
    <row r="19" spans="3:6" x14ac:dyDescent="0.2">
      <c r="C19" t="s">
        <v>3</v>
      </c>
      <c r="D19" s="1">
        <f>SUM(D20:D21)</f>
        <v>2</v>
      </c>
      <c r="E19" s="3" t="s">
        <v>27</v>
      </c>
    </row>
    <row r="20" spans="3:6" x14ac:dyDescent="0.2">
      <c r="C20" s="2" t="s">
        <v>25</v>
      </c>
      <c r="D20" s="16">
        <v>1</v>
      </c>
      <c r="E20" s="3" t="s">
        <v>28</v>
      </c>
    </row>
    <row r="21" spans="3:6" x14ac:dyDescent="0.2">
      <c r="C21" s="2" t="s">
        <v>26</v>
      </c>
      <c r="D21" s="16">
        <v>1</v>
      </c>
      <c r="E21" s="3" t="s">
        <v>29</v>
      </c>
    </row>
    <row r="22" spans="3:6" x14ac:dyDescent="0.2">
      <c r="C22" t="s">
        <v>10</v>
      </c>
      <c r="D22" s="16">
        <v>1</v>
      </c>
      <c r="E22" s="3" t="s">
        <v>23</v>
      </c>
    </row>
    <row r="23" spans="3:6" x14ac:dyDescent="0.2">
      <c r="C23" t="s">
        <v>111</v>
      </c>
      <c r="D23" s="16">
        <v>0</v>
      </c>
      <c r="E23" s="3" t="s">
        <v>70</v>
      </c>
    </row>
    <row r="24" spans="3:6" x14ac:dyDescent="0.2">
      <c r="C24" t="s">
        <v>5</v>
      </c>
      <c r="D24" s="16">
        <v>1</v>
      </c>
      <c r="E24" s="3" t="s">
        <v>75</v>
      </c>
    </row>
    <row r="25" spans="3:6" x14ac:dyDescent="0.2">
      <c r="C25" t="s">
        <v>110</v>
      </c>
      <c r="D25" s="16">
        <v>0</v>
      </c>
      <c r="E25" s="3" t="s">
        <v>112</v>
      </c>
    </row>
    <row r="26" spans="3:6" x14ac:dyDescent="0.2">
      <c r="C26" t="s">
        <v>113</v>
      </c>
      <c r="D26" s="16">
        <v>0</v>
      </c>
      <c r="E26" s="3" t="s">
        <v>24</v>
      </c>
    </row>
    <row r="27" spans="3:6" x14ac:dyDescent="0.2">
      <c r="E27" s="3"/>
    </row>
    <row r="28" spans="3:6" x14ac:dyDescent="0.2">
      <c r="C28" s="4" t="s">
        <v>103</v>
      </c>
      <c r="D28" s="34">
        <f>I43*D19</f>
        <v>2.2000000000000002</v>
      </c>
    </row>
    <row r="29" spans="3:6" x14ac:dyDescent="0.2">
      <c r="C29" t="s">
        <v>4</v>
      </c>
      <c r="D29" s="1">
        <f>(((D15*D16)*D17)*D19*D18+D22*D19+D23*D19)*D24</f>
        <v>4</v>
      </c>
      <c r="E29" s="2" t="s">
        <v>13</v>
      </c>
      <c r="F29">
        <f>$B$1-D29</f>
        <v>92</v>
      </c>
    </row>
    <row r="30" spans="3:6" x14ac:dyDescent="0.2">
      <c r="C30" t="s">
        <v>82</v>
      </c>
      <c r="D30" s="1">
        <f>(D15*D17*D18)*D24*D16+(D22+D23)</f>
        <v>2</v>
      </c>
      <c r="E30" s="3" t="str">
        <f>_xlfn.CONCAT(D30-D22-D23, " replicates with + ",D22," NTC"," +",D23, " NRT")</f>
        <v>1 replicates with + 1 NTC +0 NRT</v>
      </c>
    </row>
    <row r="31" spans="3:6" x14ac:dyDescent="0.2">
      <c r="C31" t="s">
        <v>83</v>
      </c>
      <c r="D31" s="1">
        <f>D17*D18*D19*D24*D16</f>
        <v>2</v>
      </c>
      <c r="F31" s="10"/>
    </row>
    <row r="32" spans="3:6" x14ac:dyDescent="0.2">
      <c r="F32" s="10"/>
    </row>
    <row r="33" spans="3:15" x14ac:dyDescent="0.2">
      <c r="C33" t="s">
        <v>99</v>
      </c>
      <c r="D33" s="5">
        <f>I43*D17</f>
        <v>1.1000000000000001</v>
      </c>
      <c r="E33" s="3" t="str">
        <f>_xlfn.CONCAT("considering the dilution 1:x, where x=",D10)</f>
        <v>considering the dilution 1:x, where x=5</v>
      </c>
    </row>
    <row r="34" spans="3:15" x14ac:dyDescent="0.2">
      <c r="C34" t="s">
        <v>90</v>
      </c>
      <c r="D34" s="1">
        <f>G41*D19</f>
        <v>44</v>
      </c>
    </row>
    <row r="35" spans="3:15" x14ac:dyDescent="0.2">
      <c r="C35" t="s">
        <v>91</v>
      </c>
      <c r="D35" s="1">
        <f>G44*D19</f>
        <v>32.559999999999995</v>
      </c>
    </row>
    <row r="36" spans="3:15" x14ac:dyDescent="0.2">
      <c r="D36" t="s">
        <v>92</v>
      </c>
      <c r="E36" s="1">
        <f>D35+D34</f>
        <v>76.56</v>
      </c>
    </row>
    <row r="38" spans="3:15" x14ac:dyDescent="0.2">
      <c r="C38" s="35"/>
      <c r="D38" s="35"/>
      <c r="E38" s="35"/>
      <c r="F38" s="35"/>
      <c r="G38" s="35"/>
      <c r="H38" s="35"/>
    </row>
    <row r="39" spans="3:15" x14ac:dyDescent="0.2">
      <c r="C39" s="43" t="s">
        <v>73</v>
      </c>
      <c r="D39" s="43"/>
      <c r="E39" s="43"/>
      <c r="F39" s="43"/>
      <c r="G39" s="43" t="s">
        <v>100</v>
      </c>
      <c r="H39" s="43"/>
      <c r="I39" s="43"/>
    </row>
    <row r="40" spans="3:15" x14ac:dyDescent="0.2">
      <c r="D40" s="13" t="s">
        <v>6</v>
      </c>
      <c r="E40" s="13" t="s">
        <v>7</v>
      </c>
      <c r="F40" s="13" t="s">
        <v>96</v>
      </c>
      <c r="G40" s="13" t="s">
        <v>97</v>
      </c>
      <c r="H40" s="31"/>
    </row>
    <row r="41" spans="3:15" x14ac:dyDescent="0.2">
      <c r="C41" s="2" t="s">
        <v>0</v>
      </c>
      <c r="D41" s="19">
        <v>2</v>
      </c>
      <c r="E41" s="19">
        <v>1</v>
      </c>
      <c r="F41" s="1">
        <f>(E41*$F$46)/$D41</f>
        <v>10</v>
      </c>
      <c r="G41" s="7">
        <f>(F41*($D$30+$D$25+$D$26))*$D$12</f>
        <v>22</v>
      </c>
      <c r="H41" s="33" t="str">
        <f>_xlfn.CONCAT("»» split in ", D15*D17*D16," tubes", " »»")</f>
        <v>»» split in 1 tubes »»</v>
      </c>
      <c r="I41" s="39" t="s">
        <v>98</v>
      </c>
    </row>
    <row r="42" spans="3:15" x14ac:dyDescent="0.2">
      <c r="C42" s="2" t="s">
        <v>93</v>
      </c>
      <c r="D42" s="19">
        <v>10</v>
      </c>
      <c r="E42" s="19">
        <v>0.4</v>
      </c>
      <c r="F42" s="1">
        <f>(E42*$F$46)/$D42</f>
        <v>0.8</v>
      </c>
      <c r="G42" s="7">
        <f t="shared" ref="G42:G44" si="0">(F42*($D$30+$D$25+$D$26))*$D$12</f>
        <v>1.7600000000000002</v>
      </c>
      <c r="I42" s="40">
        <f>(($G$48*$D$13)*(D30-(SUM(D22:D23))))/(D15*D16)</f>
        <v>20.900000000000002</v>
      </c>
    </row>
    <row r="43" spans="3:15" x14ac:dyDescent="0.2">
      <c r="C43" s="2" t="s">
        <v>94</v>
      </c>
      <c r="D43" s="19">
        <v>10</v>
      </c>
      <c r="E43" s="19">
        <v>0.4</v>
      </c>
      <c r="F43" s="1">
        <f>(E43*$F$46)/$D43</f>
        <v>0.8</v>
      </c>
      <c r="G43" s="7">
        <f t="shared" si="0"/>
        <v>1.7600000000000002</v>
      </c>
      <c r="H43" s="2" t="s">
        <v>101</v>
      </c>
      <c r="I43" s="5">
        <f>$F$45*I42/$G$48</f>
        <v>1.1000000000000001</v>
      </c>
    </row>
    <row r="44" spans="3:15" x14ac:dyDescent="0.2">
      <c r="C44" s="2" t="s">
        <v>1</v>
      </c>
      <c r="D44" s="20" t="s">
        <v>48</v>
      </c>
      <c r="E44" s="20" t="s">
        <v>48</v>
      </c>
      <c r="F44" s="1">
        <f>F46-SUM(F41:F43)-F45</f>
        <v>7.3999999999999986</v>
      </c>
      <c r="G44" s="7">
        <f t="shared" si="0"/>
        <v>16.279999999999998</v>
      </c>
    </row>
    <row r="45" spans="3:15" x14ac:dyDescent="0.2">
      <c r="C45" s="2" t="s">
        <v>101</v>
      </c>
      <c r="D45" s="20" t="s">
        <v>48</v>
      </c>
      <c r="E45" s="20" t="s">
        <v>48</v>
      </c>
      <c r="F45" s="17">
        <v>1</v>
      </c>
      <c r="G45" s="3" t="str">
        <f>_xlfn.CONCAT("total volume = ",SUM(G41:G44)," µL")</f>
        <v>total volume = 41.8 µL</v>
      </c>
      <c r="H45" s="33" t="str">
        <f>IF(D22=0,_xlfn.CONCAT("»» split in ", 0," tubes", " »»"),_xlfn.CONCAT("»» split in ",1," tubes", " »»"))</f>
        <v>»» split in 1 tubes »»</v>
      </c>
      <c r="I45" s="39" t="s">
        <v>106</v>
      </c>
      <c r="O45" s="7"/>
    </row>
    <row r="46" spans="3:15" x14ac:dyDescent="0.2">
      <c r="E46" t="s">
        <v>8</v>
      </c>
      <c r="F46" s="19">
        <v>20</v>
      </c>
      <c r="I46" s="39">
        <f>($G$48*$D$13)*$D$22</f>
        <v>20.900000000000002</v>
      </c>
    </row>
    <row r="47" spans="3:15" x14ac:dyDescent="0.2">
      <c r="D47" s="3" t="s">
        <v>95</v>
      </c>
      <c r="E47" s="3">
        <f>SUM(F41:F45)</f>
        <v>20</v>
      </c>
      <c r="F47" s="3" t="s">
        <v>107</v>
      </c>
      <c r="G47" s="36">
        <f>SUM(G41:G44)</f>
        <v>41.8</v>
      </c>
      <c r="H47" s="2" t="s">
        <v>1</v>
      </c>
      <c r="I47">
        <f>$F$45*I46/$G$48</f>
        <v>1.1000000000000001</v>
      </c>
      <c r="J47" s="32"/>
    </row>
    <row r="48" spans="3:15" x14ac:dyDescent="0.2">
      <c r="D48" s="3" t="s">
        <v>102</v>
      </c>
      <c r="E48" s="3">
        <f>F46-SUM(F41:F43)</f>
        <v>8.3999999999999986</v>
      </c>
      <c r="F48" s="3" t="s">
        <v>108</v>
      </c>
      <c r="G48" s="3">
        <f>F46-F45</f>
        <v>19</v>
      </c>
      <c r="H48" s="33" t="str">
        <f>IF(D23=0,_xlfn.CONCAT("»» split in ", 0," tubes", " »»"),_xlfn.CONCAT("»» split in ",1," tubes", " »»"))</f>
        <v>»» split in 0 tubes »»</v>
      </c>
      <c r="I48" s="39" t="s">
        <v>104</v>
      </c>
    </row>
    <row r="49" spans="4:10" x14ac:dyDescent="0.2">
      <c r="D49" s="43"/>
      <c r="E49" s="43"/>
      <c r="F49" s="43"/>
      <c r="G49" s="43"/>
      <c r="I49" s="39">
        <f>($D$23*$G$48)*$D$13</f>
        <v>0</v>
      </c>
    </row>
    <row r="50" spans="4:10" hidden="1" x14ac:dyDescent="0.2">
      <c r="D50" s="28"/>
      <c r="E50" s="28"/>
      <c r="F50" s="21" t="s">
        <v>78</v>
      </c>
      <c r="I50" s="1">
        <f>F45*I49/$G$48</f>
        <v>0</v>
      </c>
    </row>
    <row r="51" spans="4:10" hidden="1" x14ac:dyDescent="0.2">
      <c r="D51" s="3" t="s">
        <v>47</v>
      </c>
      <c r="E51" s="24">
        <f>I8</f>
        <v>2</v>
      </c>
      <c r="F51" s="27">
        <f>E51*E48</f>
        <v>16.799999999999997</v>
      </c>
    </row>
    <row r="52" spans="4:10" hidden="1" x14ac:dyDescent="0.2">
      <c r="D52" s="3" t="s">
        <v>45</v>
      </c>
      <c r="E52" s="25">
        <f>E51/E57</f>
        <v>0.1</v>
      </c>
      <c r="F52" s="26">
        <f>$F$51/($D$10*($F$56/$E$56))</f>
        <v>0.41999999999999993</v>
      </c>
      <c r="G52" s="3" t="str">
        <f>_xlfn.CONCAT("for the max volume of template = ",F46-SUM(F41:F43), " uL")</f>
        <v>for the max volume of template = 8.4 uL</v>
      </c>
    </row>
    <row r="53" spans="4:10" hidden="1" x14ac:dyDescent="0.2">
      <c r="D53" s="3" t="s">
        <v>46</v>
      </c>
      <c r="E53" s="25">
        <f>E51-E52</f>
        <v>1.9</v>
      </c>
      <c r="F53" s="26">
        <f>F51-F52</f>
        <v>16.379999999999995</v>
      </c>
    </row>
    <row r="54" spans="4:10" hidden="1" x14ac:dyDescent="0.2">
      <c r="D54" s="3"/>
      <c r="E54" s="21" t="s">
        <v>22</v>
      </c>
      <c r="F54" s="21" t="s">
        <v>74</v>
      </c>
    </row>
    <row r="55" spans="4:10" hidden="1" x14ac:dyDescent="0.2">
      <c r="D55" s="3" t="s">
        <v>21</v>
      </c>
      <c r="E55" s="3">
        <f>SUM(F41:F44)/SUM(F41:F45)*100</f>
        <v>95</v>
      </c>
      <c r="F55" s="3">
        <v>60</v>
      </c>
    </row>
    <row r="56" spans="4:10" hidden="1" x14ac:dyDescent="0.2">
      <c r="D56" s="3" t="s">
        <v>20</v>
      </c>
      <c r="E56" s="3">
        <f>F45/SUM(F41:F45)*100</f>
        <v>5</v>
      </c>
      <c r="F56" s="3">
        <v>40</v>
      </c>
    </row>
    <row r="57" spans="4:10" hidden="1" x14ac:dyDescent="0.2">
      <c r="D57" s="3" t="s">
        <v>77</v>
      </c>
      <c r="E57" s="12">
        <f>1/(SUM(F45)/20)</f>
        <v>20</v>
      </c>
      <c r="F57" s="12">
        <f>1/(SUM(F44:F45)/F46)</f>
        <v>2.3809523809523814</v>
      </c>
    </row>
    <row r="58" spans="4:10" x14ac:dyDescent="0.2">
      <c r="H58" s="2" t="s">
        <v>105</v>
      </c>
      <c r="I58">
        <f>$F$45*I57/$G$48</f>
        <v>0</v>
      </c>
    </row>
    <row r="59" spans="4:10" x14ac:dyDescent="0.2">
      <c r="H59" s="2" t="s">
        <v>114</v>
      </c>
      <c r="I59" s="7">
        <f>G48*D26</f>
        <v>0</v>
      </c>
      <c r="J59" s="11"/>
    </row>
    <row r="60" spans="4:10" x14ac:dyDescent="0.2">
      <c r="G60" s="44" t="s">
        <v>109</v>
      </c>
      <c r="H60" s="44"/>
      <c r="I60" s="11">
        <f>SUM(I46,I49)+I42*D15+I59</f>
        <v>41.800000000000004</v>
      </c>
    </row>
    <row r="61" spans="4:10" x14ac:dyDescent="0.2">
      <c r="H61" s="3" t="s">
        <v>115</v>
      </c>
      <c r="I61" s="11">
        <f>G47-I60</f>
        <v>0</v>
      </c>
    </row>
  </sheetData>
  <mergeCells count="10">
    <mergeCell ref="A5:B5"/>
    <mergeCell ref="G60:H60"/>
    <mergeCell ref="C4:J4"/>
    <mergeCell ref="C3:J3"/>
    <mergeCell ref="D49:G49"/>
    <mergeCell ref="H7:I7"/>
    <mergeCell ref="H11:I11"/>
    <mergeCell ref="G39:I39"/>
    <mergeCell ref="C5:J5"/>
    <mergeCell ref="C39:F39"/>
  </mergeCells>
  <phoneticPr fontId="2" type="noConversion"/>
  <conditionalFormatting sqref="E55:F56">
    <cfRule type="duplicateValues" dxfId="2" priority="4"/>
  </conditionalFormatting>
  <conditionalFormatting sqref="E47">
    <cfRule type="cellIs" dxfId="1" priority="2" operator="equal">
      <formula>$F$46</formula>
    </cfRule>
  </conditionalFormatting>
  <conditionalFormatting sqref="I60">
    <cfRule type="cellIs" dxfId="0" priority="1" operator="greaterThan">
      <formula>$G$47</formula>
    </cfRule>
  </conditionalFormatting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3522-9538-492C-A0E3-22AA45BEA612}">
  <sheetPr>
    <pageSetUpPr fitToPage="1"/>
  </sheetPr>
  <dimension ref="E13:Z32"/>
  <sheetViews>
    <sheetView topLeftCell="D1" zoomScale="80" zoomScaleNormal="80" workbookViewId="0">
      <selection activeCell="J23" sqref="J23"/>
    </sheetView>
  </sheetViews>
  <sheetFormatPr defaultRowHeight="14.25" x14ac:dyDescent="0.2"/>
  <cols>
    <col min="8" max="8" width="15.75" bestFit="1" customWidth="1"/>
    <col min="21" max="21" width="14" bestFit="1" customWidth="1"/>
  </cols>
  <sheetData>
    <row r="13" spans="8:21" x14ac:dyDescent="0.2">
      <c r="H13" t="s">
        <v>9</v>
      </c>
      <c r="I13" t="s">
        <v>127</v>
      </c>
      <c r="J13" t="s">
        <v>128</v>
      </c>
      <c r="K13" t="s">
        <v>129</v>
      </c>
      <c r="L13" t="s">
        <v>130</v>
      </c>
      <c r="M13" t="s">
        <v>131</v>
      </c>
      <c r="N13" t="s">
        <v>132</v>
      </c>
      <c r="O13" t="s">
        <v>133</v>
      </c>
      <c r="P13" t="s">
        <v>134</v>
      </c>
      <c r="Q13" t="s">
        <v>135</v>
      </c>
      <c r="R13" t="s">
        <v>136</v>
      </c>
      <c r="S13" t="s">
        <v>137</v>
      </c>
      <c r="T13" t="s">
        <v>138</v>
      </c>
    </row>
    <row r="14" spans="8:21" x14ac:dyDescent="0.2">
      <c r="H14" s="2" t="s">
        <v>139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2"/>
    </row>
    <row r="15" spans="8:21" x14ac:dyDescent="0.2">
      <c r="H15" s="2" t="s">
        <v>140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2"/>
    </row>
    <row r="16" spans="8:21" x14ac:dyDescent="0.2">
      <c r="H16" s="2" t="s">
        <v>141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2"/>
    </row>
    <row r="17" spans="5:26" x14ac:dyDescent="0.2">
      <c r="H17" s="2" t="s">
        <v>142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2"/>
    </row>
    <row r="18" spans="5:26" x14ac:dyDescent="0.2">
      <c r="H18" s="2" t="s">
        <v>143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"/>
    </row>
    <row r="19" spans="5:26" x14ac:dyDescent="0.2">
      <c r="H19" s="2" t="s">
        <v>144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2"/>
    </row>
    <row r="20" spans="5:26" x14ac:dyDescent="0.2">
      <c r="H20" s="2" t="s">
        <v>145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5:26" x14ac:dyDescent="0.2">
      <c r="H21" s="2" t="s">
        <v>146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5:26" x14ac:dyDescent="0.2">
      <c r="H22" s="2" t="s">
        <v>147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8" spans="5:26" x14ac:dyDescent="0.2">
      <c r="E28" s="48" t="s">
        <v>117</v>
      </c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</row>
    <row r="31" spans="5:26" x14ac:dyDescent="0.2">
      <c r="F31" t="s">
        <v>118</v>
      </c>
    </row>
    <row r="32" spans="5:26" x14ac:dyDescent="0.2">
      <c r="F32" t="s">
        <v>119</v>
      </c>
    </row>
  </sheetData>
  <mergeCells count="1">
    <mergeCell ref="E28:Z28"/>
  </mergeCells>
  <phoneticPr fontId="2" type="noConversion"/>
  <pageMargins left="0.7" right="0.7" top="0.75" bottom="0.75" header="0.3" footer="0.3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2E7B-BC43-4E1F-B29A-C68CCC4ACBC4}">
  <sheetPr>
    <tabColor theme="3"/>
  </sheetPr>
  <dimension ref="A1"/>
  <sheetViews>
    <sheetView workbookViewId="0">
      <selection activeCell="A2" sqref="A2"/>
    </sheetView>
  </sheetViews>
  <sheetFormatPr defaultRowHeight="14.25" x14ac:dyDescent="0.2"/>
  <cols>
    <col min="1" max="1" width="23.5" bestFit="1" customWidth="1"/>
  </cols>
  <sheetData>
    <row r="1" spans="1:1" x14ac:dyDescent="0.2">
      <c r="A1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ACD-F980-4FAA-ABB6-D8F8A635C65F}">
  <sheetPr>
    <tabColor rgb="FF00B050"/>
  </sheetPr>
  <dimension ref="A1:H1"/>
  <sheetViews>
    <sheetView workbookViewId="0">
      <selection activeCell="F38" sqref="F38"/>
    </sheetView>
  </sheetViews>
  <sheetFormatPr defaultRowHeight="14.25" x14ac:dyDescent="0.2"/>
  <cols>
    <col min="1" max="1" width="8.875" bestFit="1" customWidth="1"/>
    <col min="3" max="3" width="10.375" bestFit="1" customWidth="1"/>
    <col min="4" max="6" width="16.5" customWidth="1"/>
    <col min="7" max="7" width="8.625" customWidth="1"/>
  </cols>
  <sheetData>
    <row r="1" spans="1:8" x14ac:dyDescent="0.2">
      <c r="A1" s="13" t="s">
        <v>53</v>
      </c>
      <c r="B1" s="13" t="s">
        <v>54</v>
      </c>
      <c r="C1" s="13" t="s">
        <v>55</v>
      </c>
      <c r="D1" s="13" t="s">
        <v>56</v>
      </c>
      <c r="E1" s="13" t="s">
        <v>57</v>
      </c>
      <c r="F1" s="13" t="s">
        <v>58</v>
      </c>
      <c r="G1" s="13" t="s">
        <v>59</v>
      </c>
      <c r="H1" s="13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10770-A7BE-4F87-AD7D-A741C4C07874}">
  <dimension ref="B2:G26"/>
  <sheetViews>
    <sheetView workbookViewId="0">
      <selection activeCell="K18" sqref="K18"/>
    </sheetView>
  </sheetViews>
  <sheetFormatPr defaultRowHeight="14.25" x14ac:dyDescent="0.2"/>
  <sheetData>
    <row r="2" spans="2:7" x14ac:dyDescent="0.2">
      <c r="B2" s="50" t="s">
        <v>80</v>
      </c>
      <c r="C2" s="50"/>
      <c r="D2" s="50"/>
      <c r="E2" s="50"/>
      <c r="F2" s="50"/>
      <c r="G2" s="50"/>
    </row>
    <row r="3" spans="2:7" x14ac:dyDescent="0.2">
      <c r="B3" s="30"/>
      <c r="C3" s="30"/>
      <c r="D3" s="30"/>
      <c r="E3" s="30"/>
      <c r="F3" s="30"/>
      <c r="G3" s="30"/>
    </row>
    <row r="4" spans="2:7" x14ac:dyDescent="0.2">
      <c r="B4" s="4" t="s">
        <v>121</v>
      </c>
      <c r="D4" t="s">
        <v>34</v>
      </c>
      <c r="E4" t="s">
        <v>35</v>
      </c>
      <c r="F4" t="s">
        <v>36</v>
      </c>
      <c r="G4" t="s">
        <v>42</v>
      </c>
    </row>
    <row r="5" spans="2:7" x14ac:dyDescent="0.2">
      <c r="B5" s="4"/>
      <c r="C5" t="s">
        <v>30</v>
      </c>
      <c r="D5">
        <v>95</v>
      </c>
      <c r="E5">
        <v>30</v>
      </c>
      <c r="F5">
        <v>1</v>
      </c>
      <c r="G5">
        <f>E5*F5</f>
        <v>30</v>
      </c>
    </row>
    <row r="6" spans="2:7" x14ac:dyDescent="0.2">
      <c r="B6" s="4"/>
      <c r="C6" t="s">
        <v>31</v>
      </c>
      <c r="D6">
        <v>95</v>
      </c>
      <c r="E6">
        <v>5</v>
      </c>
      <c r="F6">
        <v>40</v>
      </c>
      <c r="G6">
        <f>E6*F6</f>
        <v>200</v>
      </c>
    </row>
    <row r="7" spans="2:7" x14ac:dyDescent="0.2">
      <c r="C7" t="s">
        <v>32</v>
      </c>
      <c r="D7" s="38">
        <v>60</v>
      </c>
      <c r="E7">
        <v>5</v>
      </c>
      <c r="F7">
        <v>40</v>
      </c>
      <c r="G7">
        <f>E7*F7</f>
        <v>200</v>
      </c>
    </row>
    <row r="8" spans="2:7" x14ac:dyDescent="0.2">
      <c r="C8" t="s">
        <v>33</v>
      </c>
    </row>
    <row r="9" spans="2:7" x14ac:dyDescent="0.2">
      <c r="D9" t="s">
        <v>37</v>
      </c>
      <c r="E9" t="s">
        <v>38</v>
      </c>
      <c r="F9">
        <v>60</v>
      </c>
    </row>
    <row r="10" spans="2:7" x14ac:dyDescent="0.2">
      <c r="E10" t="s">
        <v>39</v>
      </c>
      <c r="F10">
        <v>95</v>
      </c>
    </row>
    <row r="11" spans="2:7" x14ac:dyDescent="0.2">
      <c r="E11" t="s">
        <v>41</v>
      </c>
      <c r="F11" s="7">
        <v>0.6</v>
      </c>
    </row>
    <row r="12" spans="2:7" x14ac:dyDescent="0.2">
      <c r="E12" s="46" t="s">
        <v>43</v>
      </c>
      <c r="F12" s="46"/>
      <c r="G12" s="8">
        <f>SUM(G5:G7)/60+(F10-F9)*(1/F11)</f>
        <v>65.5</v>
      </c>
    </row>
    <row r="16" spans="2:7" x14ac:dyDescent="0.2">
      <c r="B16" s="50" t="s">
        <v>120</v>
      </c>
      <c r="C16" s="50"/>
      <c r="D16" s="50"/>
      <c r="E16" s="50"/>
      <c r="F16" s="50"/>
      <c r="G16" s="50"/>
    </row>
    <row r="17" spans="2:7" x14ac:dyDescent="0.2">
      <c r="B17" s="37"/>
      <c r="C17" s="37"/>
      <c r="D17" s="37"/>
      <c r="E17" s="37"/>
      <c r="F17" s="37"/>
      <c r="G17" s="37"/>
    </row>
    <row r="18" spans="2:7" x14ac:dyDescent="0.2">
      <c r="B18" s="4" t="s">
        <v>122</v>
      </c>
      <c r="D18" t="s">
        <v>34</v>
      </c>
      <c r="E18" t="s">
        <v>35</v>
      </c>
      <c r="F18" t="s">
        <v>36</v>
      </c>
      <c r="G18" t="s">
        <v>42</v>
      </c>
    </row>
    <row r="19" spans="2:7" x14ac:dyDescent="0.2">
      <c r="B19" s="4"/>
      <c r="C19" t="s">
        <v>30</v>
      </c>
      <c r="D19">
        <v>98</v>
      </c>
      <c r="E19">
        <v>120</v>
      </c>
      <c r="F19">
        <v>1</v>
      </c>
      <c r="G19">
        <f>E19*F19</f>
        <v>120</v>
      </c>
    </row>
    <row r="20" spans="2:7" x14ac:dyDescent="0.2">
      <c r="B20" s="4"/>
      <c r="C20" t="s">
        <v>31</v>
      </c>
      <c r="D20">
        <v>98</v>
      </c>
      <c r="E20">
        <v>5</v>
      </c>
      <c r="F20">
        <v>40</v>
      </c>
      <c r="G20">
        <f>E20*F20</f>
        <v>200</v>
      </c>
    </row>
    <row r="21" spans="2:7" x14ac:dyDescent="0.2">
      <c r="C21" t="s">
        <v>32</v>
      </c>
      <c r="D21">
        <v>60</v>
      </c>
      <c r="E21">
        <v>5</v>
      </c>
      <c r="F21">
        <v>40</v>
      </c>
      <c r="G21">
        <f>E21*F21</f>
        <v>200</v>
      </c>
    </row>
    <row r="22" spans="2:7" x14ac:dyDescent="0.2">
      <c r="C22" t="s">
        <v>33</v>
      </c>
    </row>
    <row r="23" spans="2:7" x14ac:dyDescent="0.2">
      <c r="D23" t="s">
        <v>37</v>
      </c>
      <c r="E23" t="s">
        <v>38</v>
      </c>
      <c r="F23">
        <v>60</v>
      </c>
    </row>
    <row r="24" spans="2:7" x14ac:dyDescent="0.2">
      <c r="E24" t="s">
        <v>39</v>
      </c>
      <c r="F24">
        <v>95</v>
      </c>
    </row>
    <row r="25" spans="2:7" x14ac:dyDescent="0.2">
      <c r="E25" t="s">
        <v>41</v>
      </c>
      <c r="F25" s="7">
        <v>0.6</v>
      </c>
    </row>
    <row r="26" spans="2:7" x14ac:dyDescent="0.2">
      <c r="E26" s="46" t="s">
        <v>43</v>
      </c>
      <c r="F26" s="46"/>
      <c r="G26" s="8">
        <f>SUM(G19:G21)/60+(F24-F23)*(1/F25)</f>
        <v>67</v>
      </c>
    </row>
  </sheetData>
  <mergeCells count="4">
    <mergeCell ref="E12:F12"/>
    <mergeCell ref="B2:G2"/>
    <mergeCell ref="B16:G16"/>
    <mergeCell ref="E26:F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A1FEF-F6AA-45CF-A559-F9CC0C4600CF}">
  <dimension ref="A1:H17"/>
  <sheetViews>
    <sheetView zoomScale="115" workbookViewId="0">
      <selection activeCell="A2" sqref="A2"/>
    </sheetView>
  </sheetViews>
  <sheetFormatPr defaultRowHeight="14.25" x14ac:dyDescent="0.2"/>
  <cols>
    <col min="1" max="1" width="9.375" bestFit="1" customWidth="1"/>
    <col min="2" max="2" width="9.125" bestFit="1" customWidth="1"/>
    <col min="3" max="3" width="10.5" bestFit="1" customWidth="1"/>
    <col min="4" max="4" width="14.125" bestFit="1" customWidth="1"/>
    <col min="5" max="5" width="16.75" style="13" bestFit="1" customWidth="1"/>
    <col min="6" max="6" width="9.75" bestFit="1" customWidth="1"/>
    <col min="8" max="8" width="9.125" bestFit="1" customWidth="1"/>
  </cols>
  <sheetData>
    <row r="1" spans="1:8" x14ac:dyDescent="0.2">
      <c r="A1" s="14" t="s">
        <v>53</v>
      </c>
      <c r="B1" s="14" t="s">
        <v>54</v>
      </c>
      <c r="C1" s="14" t="s">
        <v>55</v>
      </c>
      <c r="D1" s="14" t="s">
        <v>56</v>
      </c>
      <c r="E1" s="14" t="s">
        <v>57</v>
      </c>
      <c r="F1" s="14" t="s">
        <v>58</v>
      </c>
      <c r="G1" s="14" t="s">
        <v>59</v>
      </c>
      <c r="H1" s="14" t="s">
        <v>60</v>
      </c>
    </row>
    <row r="2" spans="1:8" x14ac:dyDescent="0.2">
      <c r="A2" s="15">
        <v>43745</v>
      </c>
      <c r="B2" s="3">
        <v>1</v>
      </c>
      <c r="C2" s="3">
        <v>1</v>
      </c>
      <c r="D2" s="3" t="s">
        <v>61</v>
      </c>
      <c r="E2" s="14">
        <v>1</v>
      </c>
      <c r="F2" s="3">
        <v>0</v>
      </c>
      <c r="G2" s="3" t="s">
        <v>11</v>
      </c>
      <c r="H2" s="3">
        <f t="shared" ref="H2:H17" ca="1" si="0">RANDBETWEEN(24,27)</f>
        <v>26</v>
      </c>
    </row>
    <row r="3" spans="1:8" x14ac:dyDescent="0.2">
      <c r="A3" s="15">
        <v>43745</v>
      </c>
      <c r="B3" s="3">
        <v>1</v>
      </c>
      <c r="C3" s="3">
        <v>1</v>
      </c>
      <c r="D3" s="3" t="s">
        <v>61</v>
      </c>
      <c r="E3" s="14">
        <v>2</v>
      </c>
      <c r="F3" s="3">
        <v>0</v>
      </c>
      <c r="G3" s="3" t="s">
        <v>11</v>
      </c>
      <c r="H3" s="3">
        <f t="shared" ca="1" si="0"/>
        <v>24</v>
      </c>
    </row>
    <row r="4" spans="1:8" x14ac:dyDescent="0.2">
      <c r="A4" s="15">
        <v>43745</v>
      </c>
      <c r="B4" s="3">
        <v>1</v>
      </c>
      <c r="C4" s="3">
        <v>1</v>
      </c>
      <c r="D4" s="3" t="s">
        <v>61</v>
      </c>
      <c r="E4" s="14">
        <v>1</v>
      </c>
      <c r="F4" s="3">
        <v>0</v>
      </c>
      <c r="G4" s="3" t="s">
        <v>62</v>
      </c>
      <c r="H4" s="3">
        <f t="shared" ca="1" si="0"/>
        <v>27</v>
      </c>
    </row>
    <row r="5" spans="1:8" x14ac:dyDescent="0.2">
      <c r="A5" s="15">
        <v>43745</v>
      </c>
      <c r="B5" s="3">
        <v>1</v>
      </c>
      <c r="C5" s="3">
        <v>1</v>
      </c>
      <c r="D5" s="3" t="s">
        <v>61</v>
      </c>
      <c r="E5" s="14">
        <v>2</v>
      </c>
      <c r="F5" s="3">
        <v>0</v>
      </c>
      <c r="G5" s="3" t="s">
        <v>62</v>
      </c>
      <c r="H5" s="3">
        <f t="shared" ca="1" si="0"/>
        <v>26</v>
      </c>
    </row>
    <row r="6" spans="1:8" x14ac:dyDescent="0.2">
      <c r="A6" s="15">
        <v>43745</v>
      </c>
      <c r="B6" s="3">
        <v>1</v>
      </c>
      <c r="C6" s="3">
        <v>1</v>
      </c>
      <c r="D6" s="3" t="s">
        <v>63</v>
      </c>
      <c r="E6" s="14">
        <v>1</v>
      </c>
      <c r="F6" s="3">
        <v>0</v>
      </c>
      <c r="G6" s="3" t="s">
        <v>11</v>
      </c>
      <c r="H6" s="3">
        <f t="shared" ca="1" si="0"/>
        <v>25</v>
      </c>
    </row>
    <row r="7" spans="1:8" x14ac:dyDescent="0.2">
      <c r="A7" s="15">
        <v>43745</v>
      </c>
      <c r="B7" s="3">
        <v>1</v>
      </c>
      <c r="C7" s="3">
        <v>1</v>
      </c>
      <c r="D7" s="3" t="s">
        <v>63</v>
      </c>
      <c r="E7" s="14">
        <v>2</v>
      </c>
      <c r="F7" s="3">
        <v>0</v>
      </c>
      <c r="G7" s="3" t="s">
        <v>11</v>
      </c>
      <c r="H7" s="3">
        <f t="shared" ca="1" si="0"/>
        <v>26</v>
      </c>
    </row>
    <row r="8" spans="1:8" x14ac:dyDescent="0.2">
      <c r="A8" s="15">
        <v>43745</v>
      </c>
      <c r="B8" s="3">
        <v>1</v>
      </c>
      <c r="C8" s="3">
        <v>1</v>
      </c>
      <c r="D8" s="3" t="s">
        <v>63</v>
      </c>
      <c r="E8" s="14">
        <v>1</v>
      </c>
      <c r="F8" s="3">
        <v>0</v>
      </c>
      <c r="G8" s="3" t="s">
        <v>62</v>
      </c>
      <c r="H8" s="3">
        <f t="shared" ca="1" si="0"/>
        <v>25</v>
      </c>
    </row>
    <row r="9" spans="1:8" x14ac:dyDescent="0.2">
      <c r="A9" s="15">
        <v>43745</v>
      </c>
      <c r="B9" s="3">
        <v>1</v>
      </c>
      <c r="C9" s="3">
        <v>1</v>
      </c>
      <c r="D9" s="3" t="s">
        <v>63</v>
      </c>
      <c r="E9" s="14">
        <v>2</v>
      </c>
      <c r="F9" s="3">
        <v>0</v>
      </c>
      <c r="G9" s="3" t="s">
        <v>62</v>
      </c>
      <c r="H9" s="3">
        <f t="shared" ca="1" si="0"/>
        <v>27</v>
      </c>
    </row>
    <row r="10" spans="1:8" x14ac:dyDescent="0.2">
      <c r="A10" s="15" t="s">
        <v>64</v>
      </c>
      <c r="B10" s="3">
        <v>2</v>
      </c>
      <c r="C10" s="3">
        <v>1</v>
      </c>
      <c r="D10" s="3" t="s">
        <v>61</v>
      </c>
      <c r="E10" s="14">
        <v>1</v>
      </c>
      <c r="F10" s="3">
        <v>48</v>
      </c>
      <c r="G10" s="3" t="s">
        <v>11</v>
      </c>
      <c r="H10" s="3">
        <f t="shared" ca="1" si="0"/>
        <v>27</v>
      </c>
    </row>
    <row r="11" spans="1:8" x14ac:dyDescent="0.2">
      <c r="A11" s="15" t="s">
        <v>64</v>
      </c>
      <c r="B11" s="3">
        <v>2</v>
      </c>
      <c r="C11" s="3">
        <v>1</v>
      </c>
      <c r="D11" s="3" t="s">
        <v>61</v>
      </c>
      <c r="E11" s="14">
        <v>2</v>
      </c>
      <c r="F11" s="3">
        <v>48</v>
      </c>
      <c r="G11" s="3" t="s">
        <v>11</v>
      </c>
      <c r="H11" s="3">
        <f t="shared" ca="1" si="0"/>
        <v>27</v>
      </c>
    </row>
    <row r="12" spans="1:8" x14ac:dyDescent="0.2">
      <c r="A12" s="15" t="s">
        <v>64</v>
      </c>
      <c r="B12" s="3">
        <v>2</v>
      </c>
      <c r="C12" s="3">
        <v>1</v>
      </c>
      <c r="D12" s="3" t="s">
        <v>61</v>
      </c>
      <c r="E12" s="14">
        <v>1</v>
      </c>
      <c r="F12" s="3">
        <v>48</v>
      </c>
      <c r="G12" s="3" t="s">
        <v>62</v>
      </c>
      <c r="H12" s="3">
        <f t="shared" ca="1" si="0"/>
        <v>26</v>
      </c>
    </row>
    <row r="13" spans="1:8" x14ac:dyDescent="0.2">
      <c r="A13" s="15" t="s">
        <v>64</v>
      </c>
      <c r="B13" s="3">
        <v>2</v>
      </c>
      <c r="C13" s="3">
        <v>1</v>
      </c>
      <c r="D13" s="3" t="s">
        <v>61</v>
      </c>
      <c r="E13" s="14">
        <v>2</v>
      </c>
      <c r="F13" s="3">
        <v>48</v>
      </c>
      <c r="G13" s="3" t="s">
        <v>62</v>
      </c>
      <c r="H13" s="3">
        <f t="shared" ca="1" si="0"/>
        <v>26</v>
      </c>
    </row>
    <row r="14" spans="1:8" x14ac:dyDescent="0.2">
      <c r="A14" s="15" t="s">
        <v>64</v>
      </c>
      <c r="B14" s="3">
        <v>2</v>
      </c>
      <c r="C14" s="3">
        <v>1</v>
      </c>
      <c r="D14" s="3" t="s">
        <v>63</v>
      </c>
      <c r="E14" s="14">
        <v>1</v>
      </c>
      <c r="F14" s="3">
        <v>48</v>
      </c>
      <c r="G14" s="3" t="s">
        <v>11</v>
      </c>
      <c r="H14" s="3">
        <f t="shared" ca="1" si="0"/>
        <v>26</v>
      </c>
    </row>
    <row r="15" spans="1:8" x14ac:dyDescent="0.2">
      <c r="A15" s="15" t="s">
        <v>64</v>
      </c>
      <c r="B15" s="3">
        <v>2</v>
      </c>
      <c r="C15" s="3">
        <v>1</v>
      </c>
      <c r="D15" s="3" t="s">
        <v>63</v>
      </c>
      <c r="E15" s="14">
        <v>2</v>
      </c>
      <c r="F15" s="3">
        <v>48</v>
      </c>
      <c r="G15" s="3" t="s">
        <v>11</v>
      </c>
      <c r="H15" s="3">
        <f t="shared" ca="1" si="0"/>
        <v>25</v>
      </c>
    </row>
    <row r="16" spans="1:8" x14ac:dyDescent="0.2">
      <c r="A16" s="15" t="s">
        <v>64</v>
      </c>
      <c r="B16" s="3">
        <v>2</v>
      </c>
      <c r="C16" s="3">
        <v>1</v>
      </c>
      <c r="D16" s="3" t="s">
        <v>63</v>
      </c>
      <c r="E16" s="14">
        <v>1</v>
      </c>
      <c r="F16" s="3">
        <v>48</v>
      </c>
      <c r="G16" s="3" t="s">
        <v>62</v>
      </c>
      <c r="H16" s="3">
        <f t="shared" ca="1" si="0"/>
        <v>27</v>
      </c>
    </row>
    <row r="17" spans="1:8" x14ac:dyDescent="0.2">
      <c r="A17" s="15" t="s">
        <v>64</v>
      </c>
      <c r="B17" s="3">
        <v>2</v>
      </c>
      <c r="C17" s="3">
        <v>1</v>
      </c>
      <c r="D17" s="3" t="s">
        <v>63</v>
      </c>
      <c r="E17" s="14">
        <v>2</v>
      </c>
      <c r="F17" s="3">
        <v>48</v>
      </c>
      <c r="G17" s="3" t="s">
        <v>62</v>
      </c>
      <c r="H17" s="3">
        <f t="shared" ca="1" si="0"/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experimental_design</vt:lpstr>
      <vt:lpstr>plate-layout</vt:lpstr>
      <vt:lpstr>raw_data_run#</vt:lpstr>
      <vt:lpstr>dataframe</vt:lpstr>
      <vt:lpstr>run_info</vt:lpstr>
      <vt:lpstr>tidy_pc_example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Mendes-Silva</cp:lastModifiedBy>
  <cp:lastPrinted>2019-12-07T18:53:41Z</cp:lastPrinted>
  <dcterms:created xsi:type="dcterms:W3CDTF">2019-11-26T09:34:07Z</dcterms:created>
  <dcterms:modified xsi:type="dcterms:W3CDTF">2020-10-24T20:00:27Z</dcterms:modified>
</cp:coreProperties>
</file>