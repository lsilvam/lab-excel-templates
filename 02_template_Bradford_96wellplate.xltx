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/>
  <mc:AlternateContent xmlns:mc="http://schemas.openxmlformats.org/markup-compatibility/2006">
    <mc:Choice Requires="x15">
      <x15ac:absPath xmlns:x15ac="http://schemas.microsoft.com/office/spreadsheetml/2010/11/ac" url="C:\Users\lsilv\OneDrive\Documents\GitHub\excel-lab-templates\"/>
    </mc:Choice>
  </mc:AlternateContent>
  <xr:revisionPtr revIDLastSave="0" documentId="13_ncr:1_{A6EBA4AE-9B1D-4BE2-B7F2-0D522EC1A9D7}" xr6:coauthVersionLast="47" xr6:coauthVersionMax="47" xr10:uidLastSave="{00000000-0000-0000-0000-000000000000}"/>
  <bookViews>
    <workbookView xWindow="-110" yWindow="-110" windowWidth="38620" windowHeight="21220" activeTab="3" xr2:uid="{FED2785F-B3EE-4129-86BD-C884394F67CC}"/>
  </bookViews>
  <sheets>
    <sheet name="raw_data" sheetId="5" r:id="rId1"/>
    <sheet name="bradford" sheetId="2" r:id="rId2"/>
    <sheet name="protocol" sheetId="4" r:id="rId3"/>
    <sheet name="tidy" sheetId="6" r:id="rId4"/>
    <sheet name="drafts" sheetId="1" state="hidden" r:id="rId5"/>
  </sheets>
  <definedNames>
    <definedName name="Laemmli_contentration">bradford!$J$21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5" i="2" l="1"/>
  <c r="J25" i="2" s="1"/>
  <c r="H25" i="2"/>
  <c r="I25" i="2"/>
  <c r="G24" i="2"/>
  <c r="I24" i="2"/>
  <c r="F5" i="2"/>
  <c r="G5" i="2"/>
  <c r="H5" i="2"/>
  <c r="E25" i="2"/>
  <c r="E24" i="2"/>
  <c r="L21" i="2"/>
  <c r="G4" i="2"/>
  <c r="H4" i="2"/>
  <c r="F4" i="2"/>
  <c r="B38" i="2"/>
  <c r="B39" i="2"/>
  <c r="B40" i="2"/>
  <c r="B41" i="2"/>
  <c r="B42" i="2"/>
  <c r="B43" i="2"/>
  <c r="B45" i="2" s="1"/>
  <c r="B37" i="2"/>
  <c r="B11" i="2"/>
  <c r="B4" i="2"/>
  <c r="B5" i="2"/>
  <c r="B6" i="2"/>
  <c r="B7" i="2"/>
  <c r="B8" i="2"/>
  <c r="B9" i="2"/>
  <c r="B3" i="2"/>
  <c r="J24" i="2" l="1"/>
  <c r="C43" i="2"/>
  <c r="C37" i="2"/>
  <c r="C38" i="2"/>
  <c r="C39" i="2"/>
  <c r="C40" i="2"/>
  <c r="C41" i="2"/>
  <c r="C42" i="2"/>
  <c r="C9" i="2"/>
  <c r="C3" i="2"/>
  <c r="B48" i="2" l="1"/>
  <c r="B49" i="2"/>
  <c r="B50" i="2"/>
  <c r="I5" i="2"/>
  <c r="H24" i="2" l="1"/>
  <c r="I4" i="2" l="1"/>
  <c r="O3" i="1" l="1"/>
  <c r="P3" i="1"/>
  <c r="O4" i="1"/>
  <c r="P4" i="1"/>
  <c r="O5" i="1"/>
  <c r="P5" i="1"/>
  <c r="O6" i="1"/>
  <c r="P6" i="1"/>
  <c r="O7" i="1"/>
  <c r="P7" i="1"/>
  <c r="O8" i="1"/>
  <c r="P8" i="1"/>
  <c r="O9" i="1"/>
  <c r="P9" i="1"/>
  <c r="C8" i="2" l="1"/>
  <c r="C4" i="2" l="1"/>
  <c r="C5" i="2"/>
  <c r="C6" i="2"/>
  <c r="C7" i="2"/>
  <c r="B14" i="2" l="1"/>
  <c r="B16" i="2"/>
  <c r="B15" i="2"/>
  <c r="J4" i="2" l="1"/>
  <c r="L4" i="2" s="1"/>
  <c r="J5" i="2"/>
  <c r="L5" i="2" s="1"/>
  <c r="D4" i="1"/>
  <c r="E4" i="1"/>
  <c r="F4" i="1"/>
  <c r="G4" i="1"/>
  <c r="H4" i="1"/>
  <c r="C4" i="1"/>
  <c r="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tc={EB2B3D6C-2D09-44B8-8CBE-236800E37818}</author>
    <author>tc={3EB8F7B2-3373-484B-B41F-80F67C104CD4}</author>
  </authors>
  <commentList>
    <comment ref="E21" authorId="0" shapeId="0" xr:uid="{EB2B3D6C-2D09-44B8-8CBE-236800E3781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wells to be loaded</t>
      </text>
    </comment>
    <comment ref="G21" authorId="1" shapeId="0" xr:uid="{3EB8F7B2-3373-484B-B41F-80F67C104CD4}">
      <text>
        <t>[Threaded comment]
Your version of Excel allows you to read this threaded comment; however, any edits to it will get removed if the file is opened in a newer version of Excel. Learn more: https://go.microsoft.com/fwlink/?linkid=870924
Comment:
    remember to check the max capacity of the well</t>
      </text>
    </comment>
  </commentList>
</comments>
</file>

<file path=xl/sharedStrings.xml><?xml version="1.0" encoding="utf-8"?>
<sst xmlns="http://schemas.openxmlformats.org/spreadsheetml/2006/main" count="61" uniqueCount="53">
  <si>
    <t>BSA</t>
  </si>
  <si>
    <t>H2O</t>
  </si>
  <si>
    <t>final vol</t>
  </si>
  <si>
    <t>calibration curve</t>
  </si>
  <si>
    <t>Math Sample Concentration</t>
  </si>
  <si>
    <t>Math for Western</t>
  </si>
  <si>
    <t>Abs 595 nm</t>
  </si>
  <si>
    <t>Abs 595 nm -blank</t>
  </si>
  <si>
    <t>Abs 595_1</t>
  </si>
  <si>
    <t>Abs 595_2</t>
  </si>
  <si>
    <t>y (sample)</t>
  </si>
  <si>
    <t>dilution</t>
  </si>
  <si>
    <t>new sample here</t>
  </si>
  <si>
    <t>drag down all the next columns</t>
  </si>
  <si>
    <t>average blank</t>
  </si>
  <si>
    <t>y= mx +b</t>
  </si>
  <si>
    <t>m</t>
  </si>
  <si>
    <t>b</t>
  </si>
  <si>
    <t>R^2</t>
  </si>
  <si>
    <t>well end volume</t>
  </si>
  <si>
    <t>Abs 595_3</t>
  </si>
  <si>
    <t>preparations</t>
  </si>
  <si>
    <t>net calibration curve</t>
  </si>
  <si>
    <t>sample1</t>
  </si>
  <si>
    <t xml:space="preserve">sample2 </t>
  </si>
  <si>
    <t>A</t>
  </si>
  <si>
    <t>B</t>
  </si>
  <si>
    <t>C</t>
  </si>
  <si>
    <t>D</t>
  </si>
  <si>
    <t>E</t>
  </si>
  <si>
    <t>F</t>
  </si>
  <si>
    <t>G</t>
  </si>
  <si>
    <t>H</t>
  </si>
  <si>
    <t>Laemmli's X-contentration</t>
  </si>
  <si>
    <t>drag down to auti fill</t>
  </si>
  <si>
    <t>V denaturation mix (µL)</t>
  </si>
  <si>
    <t>V laemmli (µL)</t>
  </si>
  <si>
    <t>V (sample loading) µL</t>
  </si>
  <si>
    <t>V (denaturation) µL</t>
  </si>
  <si>
    <t>V (Laemmli's) µL</t>
  </si>
  <si>
    <t>V (lysis buffer) µL</t>
  </si>
  <si>
    <t>concentration (µg/mL)</t>
  </si>
  <si>
    <t>concetration (µg/mL)</t>
  </si>
  <si>
    <t>sample Concentration (µg/mL)</t>
  </si>
  <si>
    <t>loading prot. (µg)</t>
  </si>
  <si>
    <t>excess-factor</t>
  </si>
  <si>
    <t>date</t>
  </si>
  <si>
    <t>experiment_label</t>
  </si>
  <si>
    <t>treatment</t>
  </si>
  <si>
    <t>biological_group</t>
  </si>
  <si>
    <t>sample_group</t>
  </si>
  <si>
    <t>well</t>
  </si>
  <si>
    <t>technical_replicate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</si>
</sst>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Helvetica LT Std"/>
      <family val="2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Helvetica LT Std"/>
      <family val="2"/>
    </font>
    <font>
      <b/>
      <sz val="14"/>
      <color theme="1"/>
      <name val="Helvetica LT Std"/>
      <family val="2"/>
    </font>
    <font>
      <i/>
      <sz val="11"/>
      <color rgb="FF7F7F7F"/>
      <name val="Helvetica LT Std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3" fillId="4" borderId="0" xfId="0" applyFont="1" applyFill="1"/>
    <xf numFmtId="0" fontId="3" fillId="0" borderId="0" xfId="0" applyFont="1" applyFill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0" xfId="0" applyFont="1"/>
    <xf numFmtId="2" fontId="1" fillId="0" borderId="0" xfId="0" applyNumberFormat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2"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r>
              <a:rPr lang="en-US"/>
              <a:t>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Helvetica LT Std Light" panose="020B0403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bradford!$B$2</c:f>
              <c:strCache>
                <c:ptCount val="1"/>
                <c:pt idx="0">
                  <c:v>Abs 595 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8061417322834647"/>
                  <c:y val="0.26606481481481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Helvetica LT Std Light" panose="020B0403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bradford!$A$3:$A$9</c:f>
              <c:numCache>
                <c:formatCode>General</c:formatCode>
                <c:ptCount val="7"/>
                <c:pt idx="0">
                  <c:v>2000</c:v>
                </c:pt>
                <c:pt idx="1">
                  <c:v>1000</c:v>
                </c:pt>
                <c:pt idx="2">
                  <c:v>800</c:v>
                </c:pt>
                <c:pt idx="3">
                  <c:v>600</c:v>
                </c:pt>
                <c:pt idx="4">
                  <c:v>300</c:v>
                </c:pt>
                <c:pt idx="5">
                  <c:v>150</c:v>
                </c:pt>
                <c:pt idx="6">
                  <c:v>0</c:v>
                </c:pt>
              </c:numCache>
            </c:numRef>
          </c:xVal>
          <c:yVal>
            <c:numRef>
              <c:f>bradford!$C$3:$C$9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71-4F1B-A4FA-F112E9637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99448"/>
        <c:axId val="481699776"/>
      </c:scatterChart>
      <c:valAx>
        <c:axId val="48169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pt-PT"/>
                  <a:t>BSA concetration (ug/mL)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481699776"/>
        <c:crosses val="autoZero"/>
        <c:crossBetween val="midCat"/>
      </c:valAx>
      <c:valAx>
        <c:axId val="481699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Helvetica LT Std Light" panose="020B0403020202020204" pitchFamily="34" charset="0"/>
                    <a:ea typeface="+mn-ea"/>
                    <a:cs typeface="+mn-cs"/>
                  </a:defRPr>
                </a:pPr>
                <a:r>
                  <a:rPr lang="pt-PT"/>
                  <a:t>Abs  595 nm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Helvetica LT Std Light" panose="020B0403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Helvetica LT Std Light" panose="020B0403020202020204" pitchFamily="34" charset="0"/>
                <a:ea typeface="+mn-ea"/>
                <a:cs typeface="+mn-cs"/>
              </a:defRPr>
            </a:pPr>
            <a:endParaRPr lang="en-US"/>
          </a:p>
        </c:txPr>
        <c:crossAx val="48169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Helvetica LT Std Light" panose="020B0403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bradford!$B$36</c:f>
              <c:strCache>
                <c:ptCount val="1"/>
                <c:pt idx="0">
                  <c:v>Abs 595 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8061417322834647"/>
                  <c:y val="0.26606481481481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bradford!$A$37:$A$43</c:f>
              <c:numCache>
                <c:formatCode>General</c:formatCode>
                <c:ptCount val="7"/>
                <c:pt idx="0">
                  <c:v>2000</c:v>
                </c:pt>
                <c:pt idx="1">
                  <c:v>1000</c:v>
                </c:pt>
                <c:pt idx="2">
                  <c:v>800</c:v>
                </c:pt>
                <c:pt idx="3">
                  <c:v>600</c:v>
                </c:pt>
                <c:pt idx="4">
                  <c:v>300</c:v>
                </c:pt>
                <c:pt idx="5">
                  <c:v>150</c:v>
                </c:pt>
                <c:pt idx="6">
                  <c:v>0</c:v>
                </c:pt>
              </c:numCache>
            </c:numRef>
          </c:xVal>
          <c:yVal>
            <c:numRef>
              <c:f>bradford!$C$37:$C$43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0-4CCD-A1B2-DBBB44893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99448"/>
        <c:axId val="481699776"/>
      </c:scatterChart>
      <c:valAx>
        <c:axId val="48169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BSA</a:t>
                </a:r>
                <a:r>
                  <a:rPr lang="pt-PT" baseline="0"/>
                  <a:t> concetration (ug/mL)</a:t>
                </a:r>
                <a:endParaRPr lang="pt-P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776"/>
        <c:crosses val="autoZero"/>
        <c:crossBetween val="midCat"/>
      </c:valAx>
      <c:valAx>
        <c:axId val="481699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Abs  595 nm (A.U.)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9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117661</xdr:colOff>
      <xdr:row>18</xdr:row>
      <xdr:rowOff>22131</xdr:rowOff>
    </xdr:from>
    <xdr:to>
      <xdr:col>3</xdr:col>
      <xdr:colOff>246529</xdr:colOff>
      <xdr:row>32</xdr:row>
      <xdr:rowOff>98331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582365-FB81-4334-A856-AD91161D34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51</xdr:row>
      <xdr:rowOff>0</xdr:rowOff>
    </xdr:from>
    <xdr:to>
      <xdr:col>4</xdr:col>
      <xdr:colOff>0</xdr:colOff>
      <xdr:row>65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461C28-23AC-46FC-95C0-F82D9B30E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304800</xdr:colOff>
      <xdr:row>8</xdr:row>
      <xdr:rowOff>152400</xdr:rowOff>
    </xdr:from>
    <xdr:to>
      <xdr:col>19</xdr:col>
      <xdr:colOff>513906</xdr:colOff>
      <xdr:row>49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029F7E-9F5D-469C-B10A-61F343110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0" y="1676400"/>
          <a:ext cx="8133906" cy="77724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11174584-FF02-4F22-BFF9-5655D2765FDB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viridis">
      <a:dk1>
        <a:srgbClr val="302E2C"/>
      </a:dk1>
      <a:lt1>
        <a:sysClr val="window" lastClr="FFFFFF"/>
      </a:lt1>
      <a:dk2>
        <a:srgbClr val="4E4A47"/>
      </a:dk2>
      <a:lt2>
        <a:srgbClr val="E7E6E6"/>
      </a:lt2>
      <a:accent1>
        <a:srgbClr val="238A8D"/>
      </a:accent1>
      <a:accent2>
        <a:srgbClr val="33638D"/>
      </a:accent2>
      <a:accent3>
        <a:srgbClr val="404788"/>
      </a:accent3>
      <a:accent4>
        <a:srgbClr val="3CBB75"/>
      </a:accent4>
      <a:accent5>
        <a:srgbClr val="95D840"/>
      </a:accent5>
      <a:accent6>
        <a:srgbClr val="DCE319"/>
      </a:accent6>
      <a:hlink>
        <a:srgbClr val="1F968B"/>
      </a:hlink>
      <a:folHlink>
        <a:srgbClr val="450D5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0-12-28T09:37:24.80" personId="{11174584-FF02-4F22-BFF9-5655D2765FDB}" id="{EB2B3D6C-2D09-44B8-8CBE-236800E37818}">
    <text>number of wells to be loaded</text>
  </threadedComment>
  <threadedComment ref="G21" dT="2020-12-28T09:37:53.71" personId="{11174584-FF02-4F22-BFF9-5655D2765FDB}" id="{3EB8F7B2-3373-484B-B41F-80F67C104CD4}">
    <text>remember to check the max capacity of the well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94F6-F2E9-4639-9D0A-770F2226214D}">
  <dimension ref="A3:M15"/>
  <sheetViews>
    <sheetView workbookViewId="0">
      <selection activeCell="B4" sqref="B4:C10"/>
    </sheetView>
  </sheetViews>
  <sheetFormatPr defaultRowHeight="14.5" x14ac:dyDescent="0.35"/>
  <sheetData>
    <row r="3" spans="1:13" x14ac:dyDescent="0.3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</row>
    <row r="4" spans="1:13" x14ac:dyDescent="0.35">
      <c r="A4" t="s">
        <v>25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</row>
    <row r="5" spans="1:13" x14ac:dyDescent="0.35">
      <c r="A5" t="s">
        <v>26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</row>
    <row r="6" spans="1:13" x14ac:dyDescent="0.35">
      <c r="A6" t="s">
        <v>27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</row>
    <row r="7" spans="1:13" x14ac:dyDescent="0.35">
      <c r="A7" t="s">
        <v>28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</row>
    <row r="8" spans="1:13" x14ac:dyDescent="0.35">
      <c r="A8" t="s">
        <v>29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</row>
    <row r="9" spans="1:13" x14ac:dyDescent="0.35">
      <c r="A9" t="s">
        <v>30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</row>
    <row r="10" spans="1:13" x14ac:dyDescent="0.35">
      <c r="A10" t="s">
        <v>31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</row>
    <row r="11" spans="1:13" x14ac:dyDescent="0.35">
      <c r="A11" t="s">
        <v>32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</row>
    <row r="12" spans="1:13" x14ac:dyDescent="0.35">
      <c r="B12" s="2"/>
      <c r="C12" s="2"/>
      <c r="D12" s="2"/>
      <c r="E12" s="2"/>
      <c r="F12" s="2"/>
      <c r="G12" s="2"/>
      <c r="H12" s="2"/>
      <c r="I12" s="2"/>
    </row>
    <row r="13" spans="1:13" x14ac:dyDescent="0.35">
      <c r="B13" s="2"/>
      <c r="C13" s="2"/>
      <c r="D13" s="2"/>
      <c r="E13" s="2"/>
      <c r="F13" s="2"/>
      <c r="G13" s="2"/>
      <c r="H13" s="2"/>
      <c r="I13" s="2"/>
    </row>
    <row r="14" spans="1:13" x14ac:dyDescent="0.35">
      <c r="B14" s="2"/>
      <c r="C14" s="2"/>
      <c r="D14" s="2"/>
      <c r="E14" s="2"/>
      <c r="F14" s="2"/>
      <c r="G14" s="2"/>
      <c r="H14" s="2"/>
      <c r="I14" s="2"/>
    </row>
    <row r="15" spans="1:13" x14ac:dyDescent="0.35">
      <c r="B15" s="2"/>
      <c r="C15" s="2"/>
      <c r="D15" s="2"/>
      <c r="E15" s="2"/>
      <c r="F15" s="2"/>
      <c r="G15" s="2"/>
      <c r="H15" s="2"/>
      <c r="I1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3A170-CDB8-4C37-A242-51FD267282BB}">
  <sheetPr>
    <tabColor rgb="FF00B050"/>
  </sheetPr>
  <dimension ref="A1:Q50"/>
  <sheetViews>
    <sheetView zoomScale="85" zoomScaleNormal="85" workbookViewId="0">
      <selection activeCell="F13" sqref="F13"/>
    </sheetView>
  </sheetViews>
  <sheetFormatPr defaultColWidth="9.1796875" defaultRowHeight="14" x14ac:dyDescent="0.35"/>
  <cols>
    <col min="1" max="1" width="23.54296875" style="3" bestFit="1" customWidth="1"/>
    <col min="2" max="2" width="12.7265625" style="3" bestFit="1" customWidth="1"/>
    <col min="3" max="3" width="19.7265625" style="3" bestFit="1" customWidth="1"/>
    <col min="4" max="4" width="9.1796875" style="3"/>
    <col min="5" max="5" width="19.453125" style="3" bestFit="1" customWidth="1"/>
    <col min="6" max="6" width="31.54296875" style="3" bestFit="1" customWidth="1"/>
    <col min="7" max="7" width="23" style="3" bestFit="1" customWidth="1"/>
    <col min="8" max="8" width="20.54296875" style="3" bestFit="1" customWidth="1"/>
    <col min="9" max="9" width="26.81640625" style="3" bestFit="1" customWidth="1"/>
    <col min="10" max="10" width="23.54296875" style="3" bestFit="1" customWidth="1"/>
    <col min="11" max="11" width="14.54296875" style="3" bestFit="1" customWidth="1"/>
    <col min="12" max="12" width="32" style="3" bestFit="1" customWidth="1"/>
    <col min="13" max="13" width="16.453125" style="3" bestFit="1" customWidth="1"/>
    <col min="14" max="14" width="19.81640625" style="3" bestFit="1" customWidth="1"/>
    <col min="15" max="15" width="18.453125" style="3" bestFit="1" customWidth="1"/>
    <col min="16" max="16" width="15.26953125" style="3" bestFit="1" customWidth="1"/>
    <col min="17" max="17" width="22.26953125" style="3" bestFit="1" customWidth="1"/>
    <col min="18" max="18" width="9.1796875" style="3"/>
    <col min="19" max="19" width="14" style="3" bestFit="1" customWidth="1"/>
    <col min="20" max="16384" width="9.1796875" style="3"/>
  </cols>
  <sheetData>
    <row r="1" spans="1:17" ht="17.5" x14ac:dyDescent="0.35">
      <c r="A1" s="12" t="s">
        <v>3</v>
      </c>
      <c r="B1" s="12"/>
      <c r="C1" s="12"/>
    </row>
    <row r="2" spans="1:17" x14ac:dyDescent="0.35">
      <c r="A2" s="4" t="s">
        <v>41</v>
      </c>
      <c r="B2" s="4" t="s">
        <v>6</v>
      </c>
      <c r="C2" s="4" t="s">
        <v>7</v>
      </c>
      <c r="E2" s="5"/>
      <c r="F2" s="13" t="s">
        <v>4</v>
      </c>
      <c r="G2" s="13"/>
      <c r="H2" s="13"/>
      <c r="I2" s="13"/>
      <c r="J2" s="13"/>
      <c r="K2" s="13"/>
      <c r="L2" s="13"/>
    </row>
    <row r="3" spans="1:17" x14ac:dyDescent="0.35">
      <c r="A3" s="3">
        <v>2000</v>
      </c>
      <c r="B3" s="3">
        <f>AVERAGE(raw_data!B4:C4)</f>
        <v>0</v>
      </c>
      <c r="C3" s="3">
        <f t="shared" ref="C3:C9" si="0">B3-$B$11</f>
        <v>0</v>
      </c>
      <c r="E3" s="5"/>
      <c r="F3" s="6" t="s">
        <v>8</v>
      </c>
      <c r="G3" s="6" t="s">
        <v>9</v>
      </c>
      <c r="H3" s="6" t="s">
        <v>20</v>
      </c>
      <c r="I3" s="6" t="s">
        <v>10</v>
      </c>
      <c r="J3" s="6" t="s">
        <v>42</v>
      </c>
      <c r="K3" s="6" t="s">
        <v>11</v>
      </c>
      <c r="L3" s="6" t="s">
        <v>43</v>
      </c>
    </row>
    <row r="4" spans="1:17" ht="14.5" x14ac:dyDescent="0.35">
      <c r="A4" s="3">
        <v>1000</v>
      </c>
      <c r="B4" s="3">
        <f>AVERAGE(raw_data!B5:C5)</f>
        <v>0</v>
      </c>
      <c r="C4" s="3">
        <f t="shared" si="0"/>
        <v>0</v>
      </c>
      <c r="E4" t="s">
        <v>23</v>
      </c>
      <c r="F4">
        <f>raw_data!D4</f>
        <v>0</v>
      </c>
      <c r="G4">
        <f>raw_data!E4</f>
        <v>0</v>
      </c>
      <c r="H4">
        <f>raw_data!F4</f>
        <v>0</v>
      </c>
      <c r="I4">
        <f>AVERAGE(F4:H4)-$B$11</f>
        <v>0</v>
      </c>
      <c r="J4" t="e">
        <f>(I4-$B$15)/$B$14</f>
        <v>#DIV/0!</v>
      </c>
      <c r="K4">
        <v>10</v>
      </c>
      <c r="L4" t="e">
        <f>J4*K4</f>
        <v>#DIV/0!</v>
      </c>
    </row>
    <row r="5" spans="1:17" ht="14.5" x14ac:dyDescent="0.35">
      <c r="A5" s="3">
        <v>800</v>
      </c>
      <c r="B5" s="3">
        <f>AVERAGE(raw_data!B6:C6)</f>
        <v>0</v>
      </c>
      <c r="C5" s="3">
        <f t="shared" si="0"/>
        <v>0</v>
      </c>
      <c r="E5" t="s">
        <v>24</v>
      </c>
      <c r="F5">
        <f>raw_data!D5</f>
        <v>0</v>
      </c>
      <c r="G5">
        <f>raw_data!E5</f>
        <v>0</v>
      </c>
      <c r="H5">
        <f>raw_data!F5</f>
        <v>0</v>
      </c>
      <c r="I5">
        <f>AVERAGE(F5:H5)-$B$11</f>
        <v>0</v>
      </c>
      <c r="J5" t="e">
        <f>(I5-$B$15)/$B$14</f>
        <v>#DIV/0!</v>
      </c>
      <c r="K5">
        <v>10</v>
      </c>
      <c r="L5" t="e">
        <f>J5*K5</f>
        <v>#DIV/0!</v>
      </c>
      <c r="M5" s="7"/>
      <c r="N5" s="7"/>
      <c r="Q5" s="8"/>
    </row>
    <row r="6" spans="1:17" x14ac:dyDescent="0.3">
      <c r="A6" s="3">
        <v>600</v>
      </c>
      <c r="B6" s="3">
        <f>AVERAGE(raw_data!B7:C7)</f>
        <v>0</v>
      </c>
      <c r="C6" s="3">
        <f t="shared" si="0"/>
        <v>0</v>
      </c>
      <c r="E6" s="9" t="s">
        <v>12</v>
      </c>
      <c r="F6" s="9" t="s">
        <v>13</v>
      </c>
      <c r="G6" s="7"/>
      <c r="H6" s="7"/>
      <c r="I6" s="7"/>
      <c r="J6" s="7"/>
      <c r="K6" s="7"/>
      <c r="L6" s="7"/>
      <c r="M6" s="7"/>
      <c r="N6" s="7"/>
      <c r="Q6" s="8"/>
    </row>
    <row r="7" spans="1:17" x14ac:dyDescent="0.3">
      <c r="A7" s="3">
        <v>300</v>
      </c>
      <c r="B7" s="3">
        <f>AVERAGE(raw_data!B8:C8)</f>
        <v>0</v>
      </c>
      <c r="C7" s="3">
        <f t="shared" si="0"/>
        <v>0</v>
      </c>
      <c r="F7" s="7"/>
      <c r="G7" s="7"/>
      <c r="H7" s="7"/>
      <c r="I7" s="7"/>
      <c r="J7" s="7"/>
      <c r="K7" s="7"/>
      <c r="L7" s="7"/>
      <c r="M7" s="7"/>
      <c r="N7" s="7"/>
      <c r="Q7" s="8"/>
    </row>
    <row r="8" spans="1:17" x14ac:dyDescent="0.3">
      <c r="A8" s="3">
        <v>150</v>
      </c>
      <c r="B8" s="3">
        <f>AVERAGE(raw_data!B9:C9)</f>
        <v>0</v>
      </c>
      <c r="C8" s="3">
        <f t="shared" si="0"/>
        <v>0</v>
      </c>
      <c r="F8" s="7"/>
      <c r="G8" s="7"/>
      <c r="H8" s="7"/>
      <c r="I8" s="7"/>
      <c r="J8" s="7"/>
      <c r="K8" s="7"/>
      <c r="L8" s="7"/>
      <c r="M8" s="7"/>
      <c r="N8" s="7"/>
      <c r="Q8" s="8"/>
    </row>
    <row r="9" spans="1:17" x14ac:dyDescent="0.3">
      <c r="A9" s="3">
        <v>0</v>
      </c>
      <c r="B9" s="3">
        <f>AVERAGE(raw_data!B10:C10)</f>
        <v>0</v>
      </c>
      <c r="C9" s="3">
        <f t="shared" si="0"/>
        <v>0</v>
      </c>
      <c r="F9" s="7"/>
      <c r="G9" s="7"/>
      <c r="H9" s="7"/>
      <c r="I9" s="7"/>
      <c r="J9" s="7"/>
      <c r="K9" s="7"/>
      <c r="L9" s="7"/>
      <c r="M9" s="7"/>
      <c r="N9" s="7"/>
      <c r="Q9" s="8"/>
    </row>
    <row r="10" spans="1:17" x14ac:dyDescent="0.3">
      <c r="F10" s="7"/>
      <c r="G10" s="7"/>
      <c r="H10" s="7"/>
      <c r="I10" s="7"/>
      <c r="J10" s="7"/>
      <c r="K10" s="7"/>
      <c r="L10" s="7"/>
      <c r="M10" s="7"/>
      <c r="N10" s="7"/>
      <c r="Q10" s="8"/>
    </row>
    <row r="11" spans="1:17" x14ac:dyDescent="0.3">
      <c r="A11" s="3" t="s">
        <v>14</v>
      </c>
      <c r="B11" s="3">
        <f>AVERAGE(raw_data!B11:C11)</f>
        <v>0</v>
      </c>
      <c r="I11" s="7"/>
      <c r="J11" s="7"/>
      <c r="K11" s="7"/>
      <c r="L11" s="7"/>
      <c r="M11" s="7"/>
      <c r="N11" s="7"/>
    </row>
    <row r="13" spans="1:17" x14ac:dyDescent="0.35">
      <c r="A13" s="11" t="s">
        <v>15</v>
      </c>
      <c r="B13" s="11"/>
    </row>
    <row r="14" spans="1:17" x14ac:dyDescent="0.35">
      <c r="A14" s="3" t="s">
        <v>16</v>
      </c>
      <c r="B14" s="3">
        <f>SLOPE(C3:C9,A3:A9)</f>
        <v>0</v>
      </c>
    </row>
    <row r="15" spans="1:17" x14ac:dyDescent="0.35">
      <c r="A15" s="3" t="s">
        <v>17</v>
      </c>
      <c r="B15" s="3">
        <f>INTERCEPT(C3:C9,A3:A9)</f>
        <v>0</v>
      </c>
    </row>
    <row r="16" spans="1:17" x14ac:dyDescent="0.35">
      <c r="A16" s="3" t="s">
        <v>18</v>
      </c>
      <c r="B16" s="3" t="e">
        <f>PEARSON(A3:A9,C3:C9)^2</f>
        <v>#DIV/0!</v>
      </c>
    </row>
    <row r="20" spans="5:12" x14ac:dyDescent="0.35">
      <c r="E20" s="14" t="s">
        <v>5</v>
      </c>
      <c r="F20" s="14"/>
      <c r="G20" s="14"/>
      <c r="H20" s="14"/>
      <c r="I20" s="14"/>
      <c r="J20" s="14"/>
      <c r="K20" s="14"/>
      <c r="L20" s="14"/>
    </row>
    <row r="21" spans="5:12" x14ac:dyDescent="0.35">
      <c r="E21" s="3" t="s">
        <v>21</v>
      </c>
      <c r="F21" s="3">
        <v>1</v>
      </c>
      <c r="G21" s="3" t="s">
        <v>35</v>
      </c>
      <c r="H21" s="3">
        <v>15</v>
      </c>
      <c r="I21" s="3" t="s">
        <v>33</v>
      </c>
      <c r="J21" s="3">
        <v>2</v>
      </c>
      <c r="K21" s="3" t="s">
        <v>36</v>
      </c>
      <c r="L21" s="3">
        <f>H21*1/Laemmli_contentration</f>
        <v>7.5</v>
      </c>
    </row>
    <row r="22" spans="5:12" x14ac:dyDescent="0.35">
      <c r="E22" s="3" t="s">
        <v>45</v>
      </c>
      <c r="F22" s="3">
        <v>1.1000000000000001</v>
      </c>
    </row>
    <row r="23" spans="5:12" x14ac:dyDescent="0.3">
      <c r="F23" s="10" t="s">
        <v>44</v>
      </c>
      <c r="G23" s="10" t="s">
        <v>37</v>
      </c>
      <c r="H23" s="4" t="s">
        <v>38</v>
      </c>
      <c r="I23" s="4" t="s">
        <v>39</v>
      </c>
      <c r="J23" s="4" t="s">
        <v>40</v>
      </c>
    </row>
    <row r="24" spans="5:12" x14ac:dyDescent="0.3">
      <c r="E24" s="3" t="str">
        <f>E4</f>
        <v>sample1</v>
      </c>
      <c r="F24" s="7">
        <v>15</v>
      </c>
      <c r="G24" s="7" t="e">
        <f>(F24/L4*1000)*$F$22</f>
        <v>#DIV/0!</v>
      </c>
      <c r="H24" s="3">
        <f>$F$21*$H$21</f>
        <v>15</v>
      </c>
      <c r="I24" s="3">
        <f>($F$21*$L$21)*$F$22</f>
        <v>8.25</v>
      </c>
      <c r="J24" s="8" t="e">
        <f>(H24-I24-G24)*$F$22</f>
        <v>#DIV/0!</v>
      </c>
    </row>
    <row r="25" spans="5:12" x14ac:dyDescent="0.3">
      <c r="E25" s="3" t="str">
        <f>E5</f>
        <v xml:space="preserve">sample2 </v>
      </c>
      <c r="F25" s="7">
        <v>15</v>
      </c>
      <c r="G25" s="7" t="e">
        <f>(F25/L5*1000)*$F$22</f>
        <v>#DIV/0!</v>
      </c>
      <c r="H25" s="3">
        <f>$F$21*$H$21</f>
        <v>15</v>
      </c>
      <c r="I25" s="3">
        <f>($F$21*$L$21)*$F$22</f>
        <v>8.25</v>
      </c>
      <c r="J25" s="8" t="e">
        <f>(H25-I25-G25)*$F$22</f>
        <v>#DIV/0!</v>
      </c>
    </row>
    <row r="26" spans="5:12" x14ac:dyDescent="0.35">
      <c r="E26" s="9" t="s">
        <v>34</v>
      </c>
    </row>
    <row r="35" spans="1:3" ht="17.5" x14ac:dyDescent="0.35">
      <c r="A35" s="12" t="s">
        <v>22</v>
      </c>
      <c r="B35" s="12"/>
      <c r="C35" s="12"/>
    </row>
    <row r="36" spans="1:3" x14ac:dyDescent="0.35">
      <c r="A36" s="4" t="s">
        <v>41</v>
      </c>
      <c r="B36" s="4" t="s">
        <v>6</v>
      </c>
      <c r="C36" s="4" t="s">
        <v>7</v>
      </c>
    </row>
    <row r="37" spans="1:3" x14ac:dyDescent="0.35">
      <c r="A37" s="3">
        <v>2000</v>
      </c>
      <c r="B37" s="3">
        <f>AVERAGE(raw_data!B4:C4)</f>
        <v>0</v>
      </c>
      <c r="C37" s="3">
        <f t="shared" ref="C37:C43" si="1">B37-$B$11</f>
        <v>0</v>
      </c>
    </row>
    <row r="38" spans="1:3" x14ac:dyDescent="0.35">
      <c r="A38" s="3">
        <v>1000</v>
      </c>
      <c r="B38" s="3">
        <f>AVERAGE(raw_data!B5:C5)</f>
        <v>0</v>
      </c>
      <c r="C38" s="3">
        <f t="shared" si="1"/>
        <v>0</v>
      </c>
    </row>
    <row r="39" spans="1:3" x14ac:dyDescent="0.35">
      <c r="A39" s="3">
        <v>800</v>
      </c>
      <c r="B39" s="3">
        <f>AVERAGE(raw_data!B6:C6)</f>
        <v>0</v>
      </c>
      <c r="C39" s="3">
        <f t="shared" si="1"/>
        <v>0</v>
      </c>
    </row>
    <row r="40" spans="1:3" x14ac:dyDescent="0.35">
      <c r="A40" s="3">
        <v>600</v>
      </c>
      <c r="B40" s="3">
        <f>AVERAGE(raw_data!B7:C7)</f>
        <v>0</v>
      </c>
      <c r="C40" s="3">
        <f t="shared" si="1"/>
        <v>0</v>
      </c>
    </row>
    <row r="41" spans="1:3" x14ac:dyDescent="0.35">
      <c r="A41" s="3">
        <v>300</v>
      </c>
      <c r="B41" s="3">
        <f>AVERAGE(raw_data!B8:C8)</f>
        <v>0</v>
      </c>
      <c r="C41" s="3">
        <f t="shared" si="1"/>
        <v>0</v>
      </c>
    </row>
    <row r="42" spans="1:3" x14ac:dyDescent="0.35">
      <c r="A42" s="3">
        <v>150</v>
      </c>
      <c r="B42" s="3">
        <f>AVERAGE(raw_data!B9:C9)</f>
        <v>0</v>
      </c>
      <c r="C42" s="3">
        <f t="shared" si="1"/>
        <v>0</v>
      </c>
    </row>
    <row r="43" spans="1:3" x14ac:dyDescent="0.35">
      <c r="A43" s="3">
        <v>0</v>
      </c>
      <c r="B43" s="3">
        <f>AVERAGE(raw_data!B10:C10)</f>
        <v>0</v>
      </c>
      <c r="C43" s="3">
        <f t="shared" si="1"/>
        <v>0</v>
      </c>
    </row>
    <row r="45" spans="1:3" x14ac:dyDescent="0.35">
      <c r="A45" s="3" t="s">
        <v>14</v>
      </c>
      <c r="B45" s="3">
        <f>B43</f>
        <v>0</v>
      </c>
    </row>
    <row r="47" spans="1:3" x14ac:dyDescent="0.35">
      <c r="A47" s="11" t="s">
        <v>15</v>
      </c>
      <c r="B47" s="11"/>
    </row>
    <row r="48" spans="1:3" x14ac:dyDescent="0.35">
      <c r="A48" s="3" t="s">
        <v>16</v>
      </c>
      <c r="B48" s="3">
        <f>SLOPE(C37:C43,A37:A43)</f>
        <v>0</v>
      </c>
    </row>
    <row r="49" spans="1:2" x14ac:dyDescent="0.35">
      <c r="A49" s="3" t="s">
        <v>17</v>
      </c>
      <c r="B49" s="3">
        <f>INTERCEPT(C37:C43,A37:A43)</f>
        <v>0</v>
      </c>
    </row>
    <row r="50" spans="1:2" x14ac:dyDescent="0.35">
      <c r="A50" s="3" t="s">
        <v>18</v>
      </c>
      <c r="B50" s="3" t="e">
        <f>PEARSON(A37:A43,C37:C43)^2</f>
        <v>#DIV/0!</v>
      </c>
    </row>
  </sheetData>
  <mergeCells count="6">
    <mergeCell ref="A47:B47"/>
    <mergeCell ref="A1:C1"/>
    <mergeCell ref="F2:L2"/>
    <mergeCell ref="A13:B13"/>
    <mergeCell ref="A35:C35"/>
    <mergeCell ref="E20:L20"/>
  </mergeCells>
  <conditionalFormatting sqref="B16">
    <cfRule type="colorScale" priority="1">
      <colorScale>
        <cfvo type="num" val="0.85"/>
        <cfvo type="num" val="0.9"/>
        <cfvo type="num" val="0.95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BEEA5-7C63-41E6-8B69-CC8FDBAE9ACB}">
  <sheetPr>
    <tabColor rgb="FF0070C0"/>
  </sheetPr>
  <dimension ref="A1"/>
  <sheetViews>
    <sheetView topLeftCell="A5" zoomScale="70" zoomScaleNormal="70" workbookViewId="0">
      <selection activeCell="G51" sqref="G5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B4A4C-CA25-4E06-A855-418E62148A7C}">
  <dimension ref="A1:G1"/>
  <sheetViews>
    <sheetView tabSelected="1" workbookViewId="0">
      <selection activeCell="G2" sqref="G2"/>
    </sheetView>
  </sheetViews>
  <sheetFormatPr defaultRowHeight="14.5" x14ac:dyDescent="0.35"/>
  <cols>
    <col min="3" max="3" width="15.453125" bestFit="1" customWidth="1"/>
    <col min="4" max="4" width="14.6328125" bestFit="1" customWidth="1"/>
    <col min="5" max="5" width="9.1796875" bestFit="1" customWidth="1"/>
    <col min="6" max="6" width="12.7265625" bestFit="1" customWidth="1"/>
    <col min="7" max="7" width="16.453125" bestFit="1" customWidth="1"/>
  </cols>
  <sheetData>
    <row r="1" spans="1:7" x14ac:dyDescent="0.35">
      <c r="A1" t="s">
        <v>46</v>
      </c>
      <c r="B1" t="s">
        <v>51</v>
      </c>
      <c r="C1" t="s">
        <v>47</v>
      </c>
      <c r="D1" t="s">
        <v>49</v>
      </c>
      <c r="E1" t="s">
        <v>48</v>
      </c>
      <c r="F1" t="s">
        <v>50</v>
      </c>
      <c r="G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AEA4-3906-4B1F-B2B6-47717937CB33}">
  <sheetPr>
    <tabColor theme="0" tint="-0.499984740745262"/>
  </sheetPr>
  <dimension ref="A2:P9"/>
  <sheetViews>
    <sheetView workbookViewId="0">
      <selection activeCell="J14" sqref="J14"/>
    </sheetView>
  </sheetViews>
  <sheetFormatPr defaultRowHeight="14.5" x14ac:dyDescent="0.35"/>
  <sheetData>
    <row r="2" spans="1:16" x14ac:dyDescent="0.35">
      <c r="A2" t="s">
        <v>0</v>
      </c>
      <c r="B2">
        <v>60</v>
      </c>
      <c r="C2">
        <v>40</v>
      </c>
      <c r="D2">
        <v>64</v>
      </c>
      <c r="E2">
        <v>60</v>
      </c>
      <c r="F2">
        <v>40</v>
      </c>
      <c r="G2">
        <v>40</v>
      </c>
      <c r="H2">
        <v>0</v>
      </c>
      <c r="P2" t="s">
        <v>19</v>
      </c>
    </row>
    <row r="3" spans="1:16" x14ac:dyDescent="0.35">
      <c r="A3" t="s">
        <v>1</v>
      </c>
      <c r="B3">
        <v>0</v>
      </c>
      <c r="C3">
        <v>40</v>
      </c>
      <c r="D3">
        <v>16</v>
      </c>
      <c r="E3">
        <v>20</v>
      </c>
      <c r="F3">
        <v>40</v>
      </c>
      <c r="G3">
        <v>40</v>
      </c>
      <c r="H3">
        <v>40</v>
      </c>
      <c r="L3">
        <v>2000</v>
      </c>
      <c r="M3">
        <v>60</v>
      </c>
      <c r="O3">
        <f>L3*M3/M3</f>
        <v>2000</v>
      </c>
      <c r="P3">
        <f>M3-M4</f>
        <v>20</v>
      </c>
    </row>
    <row r="4" spans="1:16" x14ac:dyDescent="0.35">
      <c r="A4" t="s">
        <v>2</v>
      </c>
      <c r="B4">
        <f>B2-C2+B3</f>
        <v>20</v>
      </c>
      <c r="C4">
        <f>C2-D2+C3</f>
        <v>16</v>
      </c>
      <c r="D4">
        <f t="shared" ref="D4:H4" si="0">D2-E2+D3</f>
        <v>20</v>
      </c>
      <c r="E4">
        <f t="shared" si="0"/>
        <v>40</v>
      </c>
      <c r="F4">
        <f t="shared" si="0"/>
        <v>40</v>
      </c>
      <c r="G4">
        <f t="shared" si="0"/>
        <v>80</v>
      </c>
      <c r="H4">
        <f t="shared" si="0"/>
        <v>40</v>
      </c>
      <c r="L4">
        <v>1000</v>
      </c>
      <c r="M4">
        <v>40</v>
      </c>
      <c r="N4">
        <v>40</v>
      </c>
      <c r="O4">
        <f t="shared" ref="O4:O9" si="1">L3*M4/(M4+N4)</f>
        <v>1000</v>
      </c>
      <c r="P4">
        <f t="shared" ref="P4:P9" si="2">SUM(M4:N4)-M5</f>
        <v>16</v>
      </c>
    </row>
    <row r="5" spans="1:16" x14ac:dyDescent="0.35">
      <c r="L5">
        <v>800</v>
      </c>
      <c r="M5">
        <v>64</v>
      </c>
      <c r="N5">
        <v>16</v>
      </c>
      <c r="O5">
        <f t="shared" si="1"/>
        <v>800</v>
      </c>
      <c r="P5">
        <f t="shared" si="2"/>
        <v>20</v>
      </c>
    </row>
    <row r="6" spans="1:16" x14ac:dyDescent="0.35">
      <c r="L6">
        <v>600</v>
      </c>
      <c r="M6">
        <v>60</v>
      </c>
      <c r="N6">
        <v>20</v>
      </c>
      <c r="O6">
        <f t="shared" si="1"/>
        <v>600</v>
      </c>
      <c r="P6">
        <f t="shared" si="2"/>
        <v>40</v>
      </c>
    </row>
    <row r="7" spans="1:16" x14ac:dyDescent="0.35">
      <c r="L7">
        <v>300</v>
      </c>
      <c r="M7">
        <v>40</v>
      </c>
      <c r="N7">
        <v>40</v>
      </c>
      <c r="O7">
        <f t="shared" si="1"/>
        <v>300</v>
      </c>
      <c r="P7">
        <f t="shared" si="2"/>
        <v>40</v>
      </c>
    </row>
    <row r="8" spans="1:16" x14ac:dyDescent="0.35">
      <c r="L8">
        <v>150</v>
      </c>
      <c r="M8">
        <v>40</v>
      </c>
      <c r="N8">
        <v>40</v>
      </c>
      <c r="O8">
        <f t="shared" si="1"/>
        <v>150</v>
      </c>
      <c r="P8">
        <f t="shared" si="2"/>
        <v>80</v>
      </c>
    </row>
    <row r="9" spans="1:16" x14ac:dyDescent="0.35">
      <c r="L9">
        <v>0</v>
      </c>
      <c r="M9">
        <v>0</v>
      </c>
      <c r="N9">
        <v>40</v>
      </c>
      <c r="O9">
        <f t="shared" si="1"/>
        <v>0</v>
      </c>
      <c r="P9">
        <f t="shared" si="2"/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raw_data</vt:lpstr>
      <vt:lpstr>bradford</vt:lpstr>
      <vt:lpstr>protocol</vt:lpstr>
      <vt:lpstr>tidy</vt:lpstr>
      <vt:lpstr>drafts</vt:lpstr>
      <vt:lpstr>Laemmli_contentration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Silva</dc:creator>
  <cp:lastModifiedBy>Leonardo Silva</cp:lastModifiedBy>
  <dcterms:created xsi:type="dcterms:W3CDTF">2018-10-25T10:24:53Z</dcterms:created>
  <dcterms:modified xsi:type="dcterms:W3CDTF">2022-02-07T15:52:30Z</dcterms:modified>
</cp:coreProperties>
</file>