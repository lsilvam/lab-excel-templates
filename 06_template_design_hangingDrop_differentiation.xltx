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PhD\05laboratory\00protocols\_excel_templates\"/>
    </mc:Choice>
  </mc:AlternateContent>
  <xr:revisionPtr revIDLastSave="0" documentId="8_{AA003681-E1FD-473D-8111-220617BE993A}" xr6:coauthVersionLast="45" xr6:coauthVersionMax="45" xr10:uidLastSave="{00000000-0000-0000-0000-000000000000}"/>
  <bookViews>
    <workbookView xWindow="4785" yWindow="1275" windowWidth="21600" windowHeight="13965" xr2:uid="{B693F31F-9189-43D4-827F-D9A6D9D91740}"/>
  </bookViews>
  <sheets>
    <sheet name="experimental_design" sheetId="1" r:id="rId1"/>
    <sheet name="differentiation_protocol" sheetId="2" r:id="rId2"/>
    <sheet name=".calendar" sheetId="3" r:id="rId3"/>
    <sheet name="aid" sheetId="4" state="hidden" r:id="rId4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3" l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A1" i="4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2" i="3" a="1"/>
  <c r="A2" i="3"/>
  <c r="C6" i="2"/>
  <c r="D6" i="2"/>
  <c r="AH6" i="2"/>
  <c r="AF2" i="4"/>
  <c r="AG6" i="2"/>
  <c r="AE2" i="4"/>
  <c r="AF6" i="2"/>
  <c r="AD2" i="4"/>
  <c r="AE6" i="2"/>
  <c r="AC2" i="4"/>
  <c r="AD6" i="2"/>
  <c r="AB2" i="4"/>
  <c r="AC6" i="2"/>
  <c r="AA2" i="4"/>
  <c r="AB6" i="2"/>
  <c r="Z2" i="4"/>
  <c r="AA6" i="2"/>
  <c r="Y2" i="4"/>
  <c r="Z6" i="2"/>
  <c r="X2" i="4"/>
  <c r="Y6" i="2"/>
  <c r="W2" i="4"/>
  <c r="X6" i="2"/>
  <c r="V2" i="4"/>
  <c r="W6" i="2"/>
  <c r="U2" i="4"/>
  <c r="V6" i="2"/>
  <c r="T2" i="4"/>
  <c r="U6" i="2"/>
  <c r="S2" i="4"/>
  <c r="T6" i="2"/>
  <c r="R2" i="4"/>
  <c r="S6" i="2"/>
  <c r="Q2" i="4"/>
  <c r="R6" i="2"/>
  <c r="P2" i="4"/>
  <c r="Q6" i="2"/>
  <c r="O2" i="4"/>
  <c r="P6" i="2"/>
  <c r="N2" i="4"/>
  <c r="O6" i="2"/>
  <c r="M2" i="4"/>
  <c r="N6" i="2"/>
  <c r="L2" i="4"/>
  <c r="M6" i="2"/>
  <c r="K2" i="4"/>
  <c r="L6" i="2"/>
  <c r="J2" i="4"/>
  <c r="K6" i="2"/>
  <c r="I2" i="4"/>
  <c r="J6" i="2"/>
  <c r="H2" i="4"/>
  <c r="I6" i="2"/>
  <c r="G2" i="4"/>
  <c r="H6" i="2"/>
  <c r="F2" i="4"/>
  <c r="G6" i="2"/>
  <c r="E2" i="4"/>
  <c r="F6" i="2"/>
  <c r="D2" i="4"/>
  <c r="E6" i="2"/>
  <c r="C2" i="4"/>
  <c r="B2" i="4"/>
  <c r="A2" i="4"/>
  <c r="I2" i="3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F4" i="2"/>
  <c r="G4" i="2"/>
  <c r="H4" i="2"/>
  <c r="I4" i="2"/>
  <c r="J4" i="2"/>
  <c r="K4" i="2"/>
  <c r="L4" i="2"/>
  <c r="M4" i="2"/>
  <c r="N4" i="2"/>
  <c r="O4" i="2"/>
  <c r="P4" i="2"/>
  <c r="E4" i="2"/>
  <c r="C4" i="2"/>
  <c r="D4" i="2"/>
  <c r="G23" i="1"/>
  <c r="G24" i="1"/>
  <c r="G25" i="1"/>
  <c r="G26" i="1"/>
  <c r="M25" i="1"/>
  <c r="G51" i="1"/>
  <c r="G52" i="1"/>
  <c r="G53" i="1"/>
  <c r="G54" i="1"/>
  <c r="G55" i="1"/>
  <c r="G40" i="1"/>
  <c r="G41" i="1"/>
  <c r="G42" i="1"/>
  <c r="G43" i="1"/>
  <c r="G44" i="1"/>
  <c r="F40" i="1"/>
  <c r="F41" i="1"/>
  <c r="F42" i="1"/>
  <c r="F43" i="1"/>
  <c r="F44" i="1"/>
  <c r="E40" i="1"/>
  <c r="E41" i="1"/>
  <c r="E42" i="1"/>
  <c r="E43" i="1"/>
  <c r="E44" i="1"/>
  <c r="G27" i="1"/>
  <c r="E24" i="1"/>
  <c r="E25" i="1"/>
  <c r="E26" i="1"/>
  <c r="E23" i="1"/>
  <c r="D33" i="1"/>
  <c r="D16" i="1"/>
  <c r="M45" i="1"/>
  <c r="F24" i="1"/>
  <c r="F25" i="1"/>
  <c r="F26" i="1"/>
  <c r="F23" i="1"/>
  <c r="C6" i="1"/>
  <c r="M42" i="1"/>
  <c r="F27" i="1"/>
  <c r="M23" i="1"/>
  <c r="M24" i="1"/>
  <c r="M28" i="1"/>
  <c r="M29" i="1"/>
  <c r="M40" i="1"/>
  <c r="M41" i="1"/>
  <c r="M46" i="1"/>
  <c r="F52" i="1"/>
  <c r="F53" i="1"/>
  <c r="F54" i="1"/>
  <c r="F51" i="1"/>
  <c r="C5" i="1"/>
  <c r="M53" i="1"/>
  <c r="F55" i="1"/>
  <c r="E54" i="1"/>
  <c r="E53" i="1"/>
  <c r="E27" i="1"/>
  <c r="E51" i="1"/>
  <c r="E52" i="1"/>
  <c r="M51" i="1"/>
  <c r="M52" i="1"/>
  <c r="E55" i="1"/>
  <c r="J60" i="1"/>
  <c r="J59" i="1"/>
  <c r="D2" i="3" a="1"/>
  <c r="D2" i="3"/>
  <c r="F2" i="3"/>
  <c r="D33" i="3"/>
  <c r="F33" i="3"/>
  <c r="D32" i="3"/>
  <c r="F32" i="3"/>
  <c r="D31" i="3"/>
  <c r="F31" i="3"/>
  <c r="D30" i="3"/>
  <c r="F30" i="3"/>
  <c r="D29" i="3"/>
  <c r="F29" i="3"/>
  <c r="D28" i="3"/>
  <c r="F28" i="3"/>
  <c r="D27" i="3"/>
  <c r="F27" i="3"/>
  <c r="D26" i="3"/>
  <c r="F26" i="3"/>
  <c r="D25" i="3"/>
  <c r="F25" i="3"/>
  <c r="D24" i="3"/>
  <c r="F24" i="3"/>
  <c r="D23" i="3"/>
  <c r="F23" i="3"/>
  <c r="D22" i="3"/>
  <c r="F22" i="3"/>
  <c r="D21" i="3"/>
  <c r="F21" i="3"/>
  <c r="D20" i="3"/>
  <c r="F20" i="3"/>
  <c r="D19" i="3"/>
  <c r="F19" i="3"/>
  <c r="D18" i="3"/>
  <c r="F18" i="3"/>
  <c r="D17" i="3"/>
  <c r="F17" i="3"/>
  <c r="D16" i="3"/>
  <c r="F16" i="3"/>
  <c r="D15" i="3"/>
  <c r="F15" i="3"/>
  <c r="D14" i="3"/>
  <c r="F14" i="3"/>
  <c r="D13" i="3"/>
  <c r="F13" i="3"/>
  <c r="D12" i="3"/>
  <c r="F12" i="3"/>
  <c r="D11" i="3"/>
  <c r="F11" i="3"/>
  <c r="D10" i="3"/>
  <c r="F10" i="3"/>
  <c r="D9" i="3"/>
  <c r="F9" i="3"/>
  <c r="D8" i="3"/>
  <c r="F8" i="3"/>
  <c r="D7" i="3"/>
  <c r="F7" i="3"/>
  <c r="D6" i="3"/>
  <c r="F6" i="3"/>
  <c r="D5" i="3"/>
  <c r="F5" i="3"/>
  <c r="D4" i="3"/>
  <c r="F4" i="3"/>
  <c r="D3" i="3"/>
  <c r="F3" i="3"/>
  <c r="H2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<sst xmlns="http://schemas.openxmlformats.org/spreadsheetml/2006/main" count="189" uniqueCount="77">
  <si>
    <t>no. cells per drop</t>
  </si>
  <si>
    <t>volume drop (uL)</t>
  </si>
  <si>
    <t>Experiment planning</t>
  </si>
  <si>
    <t>no. of time points</t>
  </si>
  <si>
    <t>no. of plates 1</t>
  </si>
  <si>
    <t>no. of plates 2</t>
  </si>
  <si>
    <t>no. of plates 3</t>
  </si>
  <si>
    <t>no. of plates 4</t>
  </si>
  <si>
    <t>biological groups</t>
  </si>
  <si>
    <t>no. of bio. groups</t>
  </si>
  <si>
    <t>drops per plate</t>
  </si>
  <si>
    <t>etoh, 4ht</t>
  </si>
  <si>
    <t>time points</t>
  </si>
  <si>
    <t>do not consider day0; harvest pellet from the pluripotency cells</t>
  </si>
  <si>
    <t>Total</t>
  </si>
  <si>
    <t>Add each time point to the right of the number of plates; leave cells empty that will no be used</t>
  </si>
  <si>
    <t>time(s) of recovery</t>
  </si>
  <si>
    <t>PBS per plate (mL)</t>
  </si>
  <si>
    <t>Total PBS (mL)</t>
  </si>
  <si>
    <t>Total medium Day 0 (mL)</t>
  </si>
  <si>
    <t>Total medium Day 2 (mL)</t>
  </si>
  <si>
    <t>Medium per plate Day 0 (mL)</t>
  </si>
  <si>
    <t>Medium per plate Day 2 (mL)</t>
  </si>
  <si>
    <t>colour meaning:</t>
  </si>
  <si>
    <t>input cell (editable)</t>
  </si>
  <si>
    <t>output (calculation)</t>
  </si>
  <si>
    <t>standard/default</t>
  </si>
  <si>
    <t>Grand total</t>
  </si>
  <si>
    <t>here you might need to change the Petri dish number (I21:I24)</t>
  </si>
  <si>
    <t xml:space="preserve">here for the case there are two different condition that require other number of plates </t>
  </si>
  <si>
    <t>here you might need to change the Petri dish number (I36:I39)</t>
  </si>
  <si>
    <t>days: 0,1,2,3,4,5,6,8,9,10,11,12</t>
  </si>
  <si>
    <t>cell concentration (cells/mL)</t>
  </si>
  <si>
    <t>seed</t>
  </si>
  <si>
    <t>seed cells</t>
  </si>
  <si>
    <t>hanging drop</t>
  </si>
  <si>
    <t>turn plates and add medium</t>
  </si>
  <si>
    <t>transfer to P60 with gelatin 0.1%</t>
  </si>
  <si>
    <t>count beating foci</t>
  </si>
  <si>
    <t>medium at day 0</t>
  </si>
  <si>
    <t>medium at day 2</t>
  </si>
  <si>
    <t>supplemented GMEM with 20% FBS</t>
  </si>
  <si>
    <t>supplemented GMEM with 10% FBS</t>
  </si>
  <si>
    <t>Cell seed</t>
  </si>
  <si>
    <t>Day -4</t>
  </si>
  <si>
    <t>Day -2</t>
  </si>
  <si>
    <t>in a P60</t>
  </si>
  <si>
    <t>in a P100</t>
  </si>
  <si>
    <t>drug (1:x)</t>
  </si>
  <si>
    <t>excess factor</t>
  </si>
  <si>
    <t>volume drug/vehicle (uL)</t>
  </si>
  <si>
    <t>total volume (uL)</t>
  </si>
  <si>
    <t>Tubes to prepared per bio. group</t>
  </si>
  <si>
    <t xml:space="preserve">thus, seed </t>
  </si>
  <si>
    <t>plates</t>
  </si>
  <si>
    <t>then</t>
  </si>
  <si>
    <t>with excess</t>
  </si>
  <si>
    <t>no. of cells</t>
  </si>
  <si>
    <t>no. of Petri dish</t>
  </si>
  <si>
    <t xml:space="preserve">no. of P60 </t>
  </si>
  <si>
    <t>NOTES</t>
  </si>
  <si>
    <t>Day</t>
  </si>
  <si>
    <t>End Date</t>
  </si>
  <si>
    <t>Subject</t>
  </si>
  <si>
    <t>Location</t>
  </si>
  <si>
    <t>Start Time</t>
  </si>
  <si>
    <t>Start date</t>
  </si>
  <si>
    <t>End Time</t>
  </si>
  <si>
    <t>Reminder ON/OFF</t>
  </si>
  <si>
    <t>Reminder Date</t>
  </si>
  <si>
    <t>Reminder Time</t>
  </si>
  <si>
    <t>Description</t>
  </si>
  <si>
    <t>experiment code name</t>
  </si>
  <si>
    <t>cell culture</t>
  </si>
  <si>
    <t>ON</t>
  </si>
  <si>
    <t>starting day (Day -2)</t>
  </si>
  <si>
    <t>cc2-1a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</si>
</sst>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1"/>
      <color theme="1"/>
      <name val="Helvetica LT Std"/>
      <family val="2"/>
    </font>
    <font>
      <sz val="11"/>
      <color theme="1"/>
      <name val="Helvetica LT Std"/>
      <family val="2"/>
    </font>
    <font>
      <b/>
      <sz val="15"/>
      <color theme="3"/>
      <name val="Helvetica LT Std"/>
      <family val="2"/>
    </font>
    <font>
      <sz val="11"/>
      <color rgb="FF006100"/>
      <name val="Helvetica LT Std"/>
      <family val="2"/>
    </font>
    <font>
      <sz val="11"/>
      <color rgb="FF9C5700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8"/>
      <name val="Helvetica LT Std"/>
      <family val="2"/>
    </font>
    <font>
      <b/>
      <sz val="11"/>
      <color rgb="FF006100"/>
      <name val="Helvetica LT Std"/>
      <family val="2"/>
    </font>
    <font>
      <b/>
      <sz val="11"/>
      <color rgb="FF9C5700"/>
      <name val="Helvetica LT Std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2" applyNumberFormat="0" applyFont="0" applyAlignment="0" applyProtection="0"/>
  </cellStyleXfs>
  <cellXfs count="33">
    <xf numFmtId="0" fontId="0" fillId="0" borderId="0" xfId="0"/>
    <xf numFmtId="0" fontId="5" fillId="0" borderId="0" xfId="4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0" fillId="4" borderId="0" xfId="5" applyFont="1" applyAlignment="1">
      <alignment horizontal="center"/>
    </xf>
    <xf numFmtId="0" fontId="0" fillId="4" borderId="0" xfId="5" applyFont="1" applyAlignment="1">
      <alignment horizontal="right"/>
    </xf>
    <xf numFmtId="0" fontId="3" fillId="2" borderId="0" xfId="2" applyAlignment="1">
      <alignment horizontal="right"/>
    </xf>
    <xf numFmtId="11" fontId="8" fillId="2" borderId="0" xfId="2" applyNumberFormat="1" applyFont="1"/>
    <xf numFmtId="11" fontId="3" fillId="2" borderId="0" xfId="2" applyNumberFormat="1" applyAlignment="1">
      <alignment horizontal="right"/>
    </xf>
    <xf numFmtId="0" fontId="3" fillId="2" borderId="0" xfId="2"/>
    <xf numFmtId="0" fontId="2" fillId="0" borderId="0" xfId="1" applyBorder="1" applyAlignment="1">
      <alignment horizontal="center"/>
    </xf>
    <xf numFmtId="0" fontId="0" fillId="0" borderId="0" xfId="0" applyAlignment="1">
      <alignment horizontal="center" vertical="center"/>
    </xf>
    <xf numFmtId="1" fontId="8" fillId="2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3" fillId="2" borderId="0" xfId="2" applyAlignment="1"/>
    <xf numFmtId="14" fontId="0" fillId="0" borderId="0" xfId="0" applyNumberFormat="1"/>
    <xf numFmtId="14" fontId="0" fillId="4" borderId="0" xfId="5" applyNumberFormat="1" applyFont="1" applyAlignment="1">
      <alignment horizontal="center"/>
    </xf>
    <xf numFmtId="18" fontId="0" fillId="0" borderId="0" xfId="0" applyNumberFormat="1"/>
    <xf numFmtId="164" fontId="0" fillId="0" borderId="0" xfId="0" applyNumberFormat="1"/>
    <xf numFmtId="0" fontId="2" fillId="0" borderId="0" xfId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9" fillId="3" borderId="0" xfId="3" applyFont="1" applyAlignment="1">
      <alignment horizontal="center"/>
    </xf>
    <xf numFmtId="0" fontId="3" fillId="2" borderId="0" xfId="2" applyAlignment="1">
      <alignment horizontal="center"/>
    </xf>
    <xf numFmtId="0" fontId="1" fillId="5" borderId="0" xfId="6" applyAlignment="1">
      <alignment horizontal="center"/>
    </xf>
    <xf numFmtId="0" fontId="4" fillId="3" borderId="0" xfId="3" applyAlignment="1">
      <alignment horizontal="center"/>
    </xf>
    <xf numFmtId="0" fontId="5" fillId="6" borderId="0" xfId="4" applyFill="1" applyAlignment="1">
      <alignment horizontal="center"/>
    </xf>
    <xf numFmtId="0" fontId="0" fillId="7" borderId="2" xfId="7" applyFont="1" applyAlignment="1">
      <alignment horizontal="center"/>
    </xf>
  </cellXfs>
  <cellStyles count="8">
    <cellStyle name="20% - Accent1" xfId="5" builtinId="30"/>
    <cellStyle name="20% - Accent2" xfId="6" builtinId="34"/>
    <cellStyle name="Explanatory Text" xfId="4" builtinId="53"/>
    <cellStyle name="Good" xfId="2" builtinId="26"/>
    <cellStyle name="Heading 1" xfId="1" builtinId="16"/>
    <cellStyle name="Neutral" xfId="3" builtinId="28"/>
    <cellStyle name="Normal" xfId="0" builtinId="0"/>
    <cellStyle name="Note" xfId="7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23C77-4E55-4A38-B086-2F524CC216F6}">
  <sheetPr codeName="Sheet1">
    <tabColor rgb="FF00B050"/>
  </sheetPr>
  <dimension ref="B1:Q60"/>
  <sheetViews>
    <sheetView tabSelected="1" workbookViewId="0">
      <selection activeCell="F9" sqref="F9"/>
    </sheetView>
  </sheetViews>
  <sheetFormatPr defaultRowHeight="14.25" x14ac:dyDescent="0.2"/>
  <cols>
    <col min="2" max="2" width="23.375" bestFit="1" customWidth="1"/>
    <col min="3" max="3" width="14.5" bestFit="1" customWidth="1"/>
    <col min="4" max="4" width="15.25" customWidth="1"/>
    <col min="5" max="5" width="17.75" customWidth="1"/>
    <col min="6" max="6" width="13.625" customWidth="1"/>
    <col min="7" max="7" width="10" customWidth="1"/>
    <col min="8" max="8" width="10.125" customWidth="1"/>
    <col min="9" max="9" width="14.875" customWidth="1"/>
    <col min="12" max="12" width="12.375" customWidth="1"/>
  </cols>
  <sheetData>
    <row r="1" spans="2:16" x14ac:dyDescent="0.2">
      <c r="C1" s="4" t="s">
        <v>23</v>
      </c>
      <c r="D1" s="6" t="s">
        <v>24</v>
      </c>
      <c r="E1" s="28" t="s">
        <v>25</v>
      </c>
      <c r="F1" s="28"/>
      <c r="G1" s="29" t="s">
        <v>26</v>
      </c>
      <c r="H1" s="29"/>
    </row>
    <row r="3" spans="2:16" x14ac:dyDescent="0.2">
      <c r="B3" t="s">
        <v>0</v>
      </c>
      <c r="C3" s="7">
        <v>1000</v>
      </c>
      <c r="E3" s="24" t="s">
        <v>17</v>
      </c>
      <c r="F3" s="24"/>
      <c r="G3" s="7">
        <v>6</v>
      </c>
    </row>
    <row r="4" spans="2:16" x14ac:dyDescent="0.2">
      <c r="B4" t="s">
        <v>1</v>
      </c>
      <c r="C4" s="7">
        <v>20</v>
      </c>
      <c r="E4" s="24" t="s">
        <v>21</v>
      </c>
      <c r="F4" s="24"/>
      <c r="G4" s="7">
        <v>1</v>
      </c>
      <c r="I4" t="s">
        <v>48</v>
      </c>
      <c r="J4" s="7">
        <v>1000</v>
      </c>
    </row>
    <row r="5" spans="2:16" x14ac:dyDescent="0.2">
      <c r="B5" t="s">
        <v>10</v>
      </c>
      <c r="C5" s="7">
        <f>C3/C4</f>
        <v>50</v>
      </c>
      <c r="E5" s="24" t="s">
        <v>22</v>
      </c>
      <c r="F5" s="24"/>
      <c r="G5" s="7">
        <v>5</v>
      </c>
      <c r="I5" t="s">
        <v>49</v>
      </c>
      <c r="J5" s="7">
        <v>1.1000000000000001</v>
      </c>
    </row>
    <row r="6" spans="2:16" x14ac:dyDescent="0.2">
      <c r="B6" t="s">
        <v>32</v>
      </c>
      <c r="C6" s="7">
        <f>C3/C4*1000</f>
        <v>50000</v>
      </c>
    </row>
    <row r="8" spans="2:16" ht="19.5" x14ac:dyDescent="0.3">
      <c r="B8" s="23" t="s">
        <v>2</v>
      </c>
      <c r="C8" s="23"/>
      <c r="D8" s="23"/>
      <c r="E8" t="s">
        <v>75</v>
      </c>
      <c r="F8" s="20">
        <v>43836</v>
      </c>
      <c r="G8" s="24" t="s">
        <v>72</v>
      </c>
      <c r="H8" s="24"/>
      <c r="I8" s="7" t="s">
        <v>76</v>
      </c>
    </row>
    <row r="9" spans="2:16" ht="19.5" x14ac:dyDescent="0.3">
      <c r="B9" s="12"/>
      <c r="C9" s="12"/>
      <c r="D9" s="12"/>
    </row>
    <row r="10" spans="2:16" x14ac:dyDescent="0.2">
      <c r="D10" t="s">
        <v>8</v>
      </c>
      <c r="E10" s="31" t="s">
        <v>11</v>
      </c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2:16" x14ac:dyDescent="0.2">
      <c r="D11" t="s">
        <v>12</v>
      </c>
      <c r="E11" s="31" t="s">
        <v>31</v>
      </c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2:16" x14ac:dyDescent="0.2">
      <c r="E12" s="1" t="s">
        <v>13</v>
      </c>
    </row>
    <row r="13" spans="2:16" x14ac:dyDescent="0.2">
      <c r="E13" s="1"/>
    </row>
    <row r="14" spans="2:16" x14ac:dyDescent="0.2">
      <c r="C14" t="s">
        <v>9</v>
      </c>
      <c r="D14">
        <v>2</v>
      </c>
      <c r="E14" s="30"/>
      <c r="F14" s="30"/>
      <c r="G14" s="30"/>
      <c r="H14" s="30"/>
    </row>
    <row r="16" spans="2:16" x14ac:dyDescent="0.2">
      <c r="C16" t="s">
        <v>3</v>
      </c>
      <c r="D16" s="11">
        <f>SUM(IF(D17&gt;0,COUNT(E17:P17),0),IF(D18&gt;0,COUNT(E18:P18),0),IF(D19&gt;0,COUNT(E19:P19),0),IF(D20&gt;0,COUNT(E20:P20),0))</f>
        <v>2</v>
      </c>
      <c r="E16" s="26" t="s">
        <v>15</v>
      </c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3:17" x14ac:dyDescent="0.2">
      <c r="C17" t="s">
        <v>4</v>
      </c>
      <c r="D17" s="7">
        <v>10</v>
      </c>
      <c r="E17" s="7">
        <v>2</v>
      </c>
      <c r="F17" s="7">
        <v>3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1" t="s">
        <v>16</v>
      </c>
    </row>
    <row r="18" spans="3:17" x14ac:dyDescent="0.2">
      <c r="C18" t="s">
        <v>5</v>
      </c>
      <c r="D18" s="7">
        <v>0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1" t="s">
        <v>16</v>
      </c>
    </row>
    <row r="19" spans="3:17" x14ac:dyDescent="0.2">
      <c r="C19" t="s">
        <v>6</v>
      </c>
      <c r="D19" s="7">
        <v>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 t="s">
        <v>16</v>
      </c>
    </row>
    <row r="20" spans="3:17" x14ac:dyDescent="0.2">
      <c r="C20" t="s">
        <v>7</v>
      </c>
      <c r="D20" s="7">
        <v>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1" t="s">
        <v>16</v>
      </c>
    </row>
    <row r="22" spans="3:17" x14ac:dyDescent="0.2">
      <c r="E22" s="15" t="s">
        <v>57</v>
      </c>
      <c r="F22" s="15" t="s">
        <v>58</v>
      </c>
      <c r="G22" s="15" t="s">
        <v>59</v>
      </c>
    </row>
    <row r="23" spans="3:17" x14ac:dyDescent="0.2">
      <c r="D23" t="s">
        <v>4</v>
      </c>
      <c r="E23" s="10">
        <f>D17*($C$3*$C$5)*COUNT(E17:P17)*D$14*$J$5</f>
        <v>2200000</v>
      </c>
      <c r="F23" s="8">
        <f>D17*COUNT(E17:P17)*D$14</f>
        <v>40</v>
      </c>
      <c r="G23" s="18">
        <f>IF(D17&gt;0,COUNTIF(E17:P17,"&gt;2"))*D17*$D$14</f>
        <v>20</v>
      </c>
      <c r="H23" s="17"/>
      <c r="K23" s="24" t="s">
        <v>18</v>
      </c>
      <c r="L23" s="24"/>
      <c r="M23" s="8">
        <f>F27*$G$3</f>
        <v>240</v>
      </c>
    </row>
    <row r="24" spans="3:17" x14ac:dyDescent="0.2">
      <c r="D24" t="s">
        <v>5</v>
      </c>
      <c r="E24" s="10">
        <f t="shared" ref="E24:E26" si="0">D18*($C$3*$C$5)*COUNT(E18:P18)*D$14*$J$5</f>
        <v>0</v>
      </c>
      <c r="F24" s="8">
        <f>D18*COUNT(E18:P18)*D$14</f>
        <v>0</v>
      </c>
      <c r="G24" s="18">
        <f t="shared" ref="G24:G26" si="1">IF(D18&gt;0,COUNTIF(E18:P18,"&gt;2"))*D18*$D$14</f>
        <v>0</v>
      </c>
      <c r="H24" s="17"/>
      <c r="K24" s="24" t="s">
        <v>19</v>
      </c>
      <c r="L24" s="24"/>
      <c r="M24" s="8">
        <f>F27*$G$4</f>
        <v>40</v>
      </c>
    </row>
    <row r="25" spans="3:17" x14ac:dyDescent="0.2">
      <c r="D25" t="s">
        <v>6</v>
      </c>
      <c r="E25" s="10">
        <f t="shared" si="0"/>
        <v>0</v>
      </c>
      <c r="F25" s="8">
        <f>D19*COUNT(E19:P19)*D$14</f>
        <v>0</v>
      </c>
      <c r="G25" s="18">
        <f t="shared" si="1"/>
        <v>0</v>
      </c>
      <c r="H25" s="17"/>
      <c r="K25" s="24" t="s">
        <v>20</v>
      </c>
      <c r="L25" s="24"/>
      <c r="M25" s="8">
        <f>SUM(G23:G26)*$G$5</f>
        <v>100</v>
      </c>
      <c r="N25" s="1" t="s">
        <v>28</v>
      </c>
    </row>
    <row r="26" spans="3:17" x14ac:dyDescent="0.2">
      <c r="D26" t="s">
        <v>7</v>
      </c>
      <c r="E26" s="10">
        <f t="shared" si="0"/>
        <v>0</v>
      </c>
      <c r="F26" s="8">
        <f>D20*COUNT(E20:P20)*D$14</f>
        <v>0</v>
      </c>
      <c r="G26" s="18">
        <f t="shared" si="1"/>
        <v>0</v>
      </c>
      <c r="H26" s="17"/>
    </row>
    <row r="27" spans="3:17" x14ac:dyDescent="0.2">
      <c r="D27" s="5" t="s">
        <v>14</v>
      </c>
      <c r="E27" s="9">
        <f>ROUNDUP(SUM(E23:E26),0)</f>
        <v>2200000</v>
      </c>
      <c r="F27" s="14">
        <f>ROUNDUP(SUM(F23:F26),0)</f>
        <v>40</v>
      </c>
      <c r="G27" s="14">
        <f>ROUNDUP(SUM(G23:G26),0)</f>
        <v>20</v>
      </c>
      <c r="H27" s="5"/>
      <c r="K27" s="25" t="s">
        <v>52</v>
      </c>
      <c r="L27" s="25"/>
      <c r="M27" s="25"/>
      <c r="N27" s="25"/>
      <c r="O27" s="25"/>
      <c r="P27" s="25"/>
    </row>
    <row r="28" spans="3:17" x14ac:dyDescent="0.2">
      <c r="K28" s="24" t="s">
        <v>51</v>
      </c>
      <c r="L28" s="24"/>
      <c r="M28" s="8">
        <f>M24*$J$5*1000/D$14</f>
        <v>22000</v>
      </c>
      <c r="N28" s="1" t="s">
        <v>56</v>
      </c>
    </row>
    <row r="29" spans="3:17" x14ac:dyDescent="0.2">
      <c r="K29" s="24" t="s">
        <v>50</v>
      </c>
      <c r="L29" s="24"/>
      <c r="M29" s="8">
        <f>(M28*1)/$J$4</f>
        <v>22</v>
      </c>
      <c r="N29" s="1" t="s">
        <v>56</v>
      </c>
    </row>
    <row r="31" spans="3:17" x14ac:dyDescent="0.2">
      <c r="C31" t="s">
        <v>9</v>
      </c>
      <c r="D31">
        <v>0</v>
      </c>
      <c r="E31" s="30"/>
      <c r="F31" s="30"/>
      <c r="G31" s="30"/>
      <c r="H31" s="30"/>
      <c r="I31" s="1" t="s">
        <v>29</v>
      </c>
    </row>
    <row r="33" spans="3:17" x14ac:dyDescent="0.2">
      <c r="C33" t="s">
        <v>3</v>
      </c>
      <c r="D33" s="11">
        <f>SUM(IF(D34&gt;0,COUNT(E34:P34),0),IF(D35&gt;0,COUNT(E35:P35),0),IF(D36&gt;0,COUNT(E36:P36),0),IF(D37&gt;0,COUNT(E37:P37),0))</f>
        <v>0</v>
      </c>
      <c r="E33" s="26" t="s">
        <v>15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</row>
    <row r="34" spans="3:17" x14ac:dyDescent="0.2">
      <c r="C34" t="s">
        <v>4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1" t="s">
        <v>16</v>
      </c>
    </row>
    <row r="35" spans="3:17" x14ac:dyDescent="0.2">
      <c r="C35" t="s">
        <v>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1" t="s">
        <v>16</v>
      </c>
    </row>
    <row r="36" spans="3:17" x14ac:dyDescent="0.2">
      <c r="C36" t="s">
        <v>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1" t="s">
        <v>16</v>
      </c>
    </row>
    <row r="37" spans="3:17" x14ac:dyDescent="0.2">
      <c r="C37" t="s">
        <v>7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1" t="s">
        <v>16</v>
      </c>
    </row>
    <row r="39" spans="3:17" x14ac:dyDescent="0.2">
      <c r="E39" s="15" t="s">
        <v>57</v>
      </c>
      <c r="F39" s="15" t="s">
        <v>58</v>
      </c>
      <c r="G39" s="15" t="s">
        <v>59</v>
      </c>
    </row>
    <row r="40" spans="3:17" x14ac:dyDescent="0.2">
      <c r="D40" t="s">
        <v>4</v>
      </c>
      <c r="E40" s="10">
        <f>D34*($C$3*$C$5)*COUNT(E34:P34)*D$31*$J$5</f>
        <v>0</v>
      </c>
      <c r="F40" s="8">
        <f>D34*COUNT(E34:P34)*D$31</f>
        <v>0</v>
      </c>
      <c r="G40" s="18">
        <f>IF(D34&gt;0,COUNTIF(E34:P34,"&gt;2"))*D34*$D$31</f>
        <v>0</v>
      </c>
      <c r="H40" s="17"/>
      <c r="K40" s="24" t="s">
        <v>18</v>
      </c>
      <c r="L40" s="24"/>
      <c r="M40" s="8">
        <f>I44*$G$3</f>
        <v>0</v>
      </c>
    </row>
    <row r="41" spans="3:17" x14ac:dyDescent="0.2">
      <c r="D41" t="s">
        <v>5</v>
      </c>
      <c r="E41" s="10">
        <f t="shared" ref="E41:E43" si="2">D35*($C$3*$C$5)*COUNT(E35:P35)*D$14*$J$5</f>
        <v>0</v>
      </c>
      <c r="F41" s="8">
        <f>D35*COUNT(E35:P35)*D$14</f>
        <v>0</v>
      </c>
      <c r="G41" s="18">
        <f t="shared" ref="G41:G43" si="3">IF(D35&gt;0,COUNTIF(E35:P35,"&gt;2"))*D35*$D$14</f>
        <v>0</v>
      </c>
      <c r="H41" s="17"/>
      <c r="K41" s="24" t="s">
        <v>19</v>
      </c>
      <c r="L41" s="24"/>
      <c r="M41" s="8">
        <f>I44*$G$4</f>
        <v>0</v>
      </c>
    </row>
    <row r="42" spans="3:17" x14ac:dyDescent="0.2">
      <c r="D42" t="s">
        <v>6</v>
      </c>
      <c r="E42" s="10">
        <f t="shared" si="2"/>
        <v>0</v>
      </c>
      <c r="F42" s="8">
        <f>D36*COUNT(E36:P36)*D$14</f>
        <v>0</v>
      </c>
      <c r="G42" s="18">
        <f t="shared" si="3"/>
        <v>0</v>
      </c>
      <c r="H42" s="17"/>
      <c r="K42" s="24" t="s">
        <v>20</v>
      </c>
      <c r="L42" s="24"/>
      <c r="M42" s="8">
        <f>SUM(I41:I43)*$G$5</f>
        <v>0</v>
      </c>
      <c r="N42" s="1" t="s">
        <v>30</v>
      </c>
    </row>
    <row r="43" spans="3:17" x14ac:dyDescent="0.2">
      <c r="D43" t="s">
        <v>7</v>
      </c>
      <c r="E43" s="10">
        <f t="shared" si="2"/>
        <v>0</v>
      </c>
      <c r="F43" s="8">
        <f>D37*COUNT(E37:P37)*D$14</f>
        <v>0</v>
      </c>
      <c r="G43" s="18">
        <f t="shared" si="3"/>
        <v>0</v>
      </c>
      <c r="H43" s="17"/>
    </row>
    <row r="44" spans="3:17" x14ac:dyDescent="0.2">
      <c r="D44" s="5" t="s">
        <v>14</v>
      </c>
      <c r="E44" s="9">
        <f>ROUNDUP(SUM(E40:E43),0)</f>
        <v>0</v>
      </c>
      <c r="F44" s="14">
        <f>ROUNDUP(SUM(F40:F43),0)</f>
        <v>0</v>
      </c>
      <c r="G44" s="14">
        <f>ROUNDUP(SUM(G40:G43),0)</f>
        <v>0</v>
      </c>
      <c r="K44" s="25" t="s">
        <v>52</v>
      </c>
      <c r="L44" s="25"/>
      <c r="M44" s="25"/>
      <c r="N44" s="25"/>
      <c r="O44" s="25"/>
      <c r="P44" s="25"/>
    </row>
    <row r="45" spans="3:17" x14ac:dyDescent="0.2">
      <c r="K45" s="24" t="s">
        <v>51</v>
      </c>
      <c r="L45" s="24"/>
      <c r="M45" s="8">
        <f>IF(D$31=0,0,M41*$J$5*1000/D$31)</f>
        <v>0</v>
      </c>
    </row>
    <row r="46" spans="3:17" x14ac:dyDescent="0.2">
      <c r="K46" s="24" t="s">
        <v>50</v>
      </c>
      <c r="L46" s="24"/>
      <c r="M46" s="8">
        <f>(M45*1)/$J$4</f>
        <v>0</v>
      </c>
    </row>
    <row r="48" spans="3:17" x14ac:dyDescent="0.2">
      <c r="C48" s="27" t="s">
        <v>27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</row>
    <row r="50" spans="2:13" x14ac:dyDescent="0.2">
      <c r="E50" s="15" t="s">
        <v>57</v>
      </c>
      <c r="F50" s="15" t="s">
        <v>58</v>
      </c>
      <c r="G50" s="15" t="s">
        <v>59</v>
      </c>
    </row>
    <row r="51" spans="2:13" x14ac:dyDescent="0.2">
      <c r="D51" t="s">
        <v>4</v>
      </c>
      <c r="E51" s="3">
        <f>SUM(E23,E40)</f>
        <v>2200000</v>
      </c>
      <c r="F51">
        <f>SUM(F23,I40)</f>
        <v>40</v>
      </c>
      <c r="G51">
        <f>SUM(G23,J40)</f>
        <v>20</v>
      </c>
      <c r="H51" s="17"/>
      <c r="K51" s="24" t="s">
        <v>18</v>
      </c>
      <c r="L51" s="24"/>
      <c r="M51" s="8">
        <f>SUM(M23,M40)</f>
        <v>240</v>
      </c>
    </row>
    <row r="52" spans="2:13" x14ac:dyDescent="0.2">
      <c r="D52" t="s">
        <v>5</v>
      </c>
      <c r="E52" s="3">
        <f>SUM(E24,E41)</f>
        <v>0</v>
      </c>
      <c r="F52">
        <f>SUM(F24,I41)</f>
        <v>0</v>
      </c>
      <c r="G52">
        <f t="shared" ref="G52:G54" si="4">SUM(G24,J41)</f>
        <v>0</v>
      </c>
      <c r="H52" s="17"/>
      <c r="K52" s="24" t="s">
        <v>19</v>
      </c>
      <c r="L52" s="24"/>
      <c r="M52" s="8">
        <f>SUM(M24,M41)</f>
        <v>40</v>
      </c>
    </row>
    <row r="53" spans="2:13" x14ac:dyDescent="0.2">
      <c r="D53" t="s">
        <v>6</v>
      </c>
      <c r="E53" s="3">
        <f>SUM(E25,E42)</f>
        <v>0</v>
      </c>
      <c r="F53">
        <f>SUM(F25,I42)</f>
        <v>0</v>
      </c>
      <c r="G53">
        <f t="shared" si="4"/>
        <v>0</v>
      </c>
      <c r="H53" s="17"/>
      <c r="K53" s="24" t="s">
        <v>20</v>
      </c>
      <c r="L53" s="24"/>
      <c r="M53" s="8">
        <f>SUM(M25,M42)</f>
        <v>100</v>
      </c>
    </row>
    <row r="54" spans="2:13" x14ac:dyDescent="0.2">
      <c r="D54" t="s">
        <v>7</v>
      </c>
      <c r="E54" s="3">
        <f>SUM(E26,E43)</f>
        <v>0</v>
      </c>
      <c r="F54">
        <f>SUM(F26,I43)</f>
        <v>0</v>
      </c>
      <c r="G54">
        <f t="shared" si="4"/>
        <v>0</v>
      </c>
      <c r="H54" s="17"/>
    </row>
    <row r="55" spans="2:13" x14ac:dyDescent="0.2">
      <c r="D55" s="5" t="s">
        <v>14</v>
      </c>
      <c r="E55" s="9">
        <f>ROUNDUP(SUM(E51:E54),0)</f>
        <v>2200000</v>
      </c>
      <c r="F55" s="14">
        <f>ROUNDUP(SUM(F51:F54),0)</f>
        <v>40</v>
      </c>
      <c r="G55" s="14">
        <f>ROUNDUP(SUM(G51:G54),0)</f>
        <v>20</v>
      </c>
      <c r="H55" s="5"/>
    </row>
    <row r="57" spans="2:13" x14ac:dyDescent="0.2">
      <c r="B57" t="s">
        <v>43</v>
      </c>
    </row>
    <row r="58" spans="2:13" x14ac:dyDescent="0.2">
      <c r="C58" t="s">
        <v>44</v>
      </c>
      <c r="F58" t="s">
        <v>45</v>
      </c>
    </row>
    <row r="59" spans="2:13" x14ac:dyDescent="0.2">
      <c r="C59" t="s">
        <v>33</v>
      </c>
      <c r="D59" s="3">
        <v>100000</v>
      </c>
      <c r="E59" t="s">
        <v>46</v>
      </c>
      <c r="F59" s="13" t="s">
        <v>55</v>
      </c>
      <c r="G59" s="3">
        <v>100000</v>
      </c>
      <c r="H59" s="2" t="s">
        <v>46</v>
      </c>
      <c r="I59" s="2" t="s">
        <v>53</v>
      </c>
      <c r="J59" s="8">
        <f>ROUNDUP(E55/(G59*2^2),0)</f>
        <v>6</v>
      </c>
      <c r="K59" t="s">
        <v>54</v>
      </c>
    </row>
    <row r="60" spans="2:13" x14ac:dyDescent="0.2">
      <c r="C60" t="s">
        <v>33</v>
      </c>
      <c r="D60" s="3">
        <v>500000</v>
      </c>
      <c r="E60" t="s">
        <v>47</v>
      </c>
      <c r="F60" s="13" t="s">
        <v>55</v>
      </c>
      <c r="G60" s="3">
        <v>500000</v>
      </c>
      <c r="H60" s="2" t="s">
        <v>47</v>
      </c>
      <c r="I60" s="2" t="s">
        <v>53</v>
      </c>
      <c r="J60" s="8">
        <f>IF(E55&lt;500000,0,ROUNDUP(E55/(G60*2^2),0))</f>
        <v>2</v>
      </c>
      <c r="K60" t="s">
        <v>54</v>
      </c>
    </row>
  </sheetData>
  <mergeCells count="29">
    <mergeCell ref="E1:F1"/>
    <mergeCell ref="G1:H1"/>
    <mergeCell ref="E31:H31"/>
    <mergeCell ref="E3:F3"/>
    <mergeCell ref="E4:F4"/>
    <mergeCell ref="E5:F5"/>
    <mergeCell ref="E14:H14"/>
    <mergeCell ref="E10:P10"/>
    <mergeCell ref="E11:P11"/>
    <mergeCell ref="G8:H8"/>
    <mergeCell ref="K51:L51"/>
    <mergeCell ref="K52:L52"/>
    <mergeCell ref="K53:L53"/>
    <mergeCell ref="E33:P33"/>
    <mergeCell ref="K40:L40"/>
    <mergeCell ref="K42:L42"/>
    <mergeCell ref="K45:L45"/>
    <mergeCell ref="K46:L46"/>
    <mergeCell ref="K44:P44"/>
    <mergeCell ref="C48:P48"/>
    <mergeCell ref="B8:D8"/>
    <mergeCell ref="K29:L29"/>
    <mergeCell ref="K28:L28"/>
    <mergeCell ref="K27:P27"/>
    <mergeCell ref="K41:L41"/>
    <mergeCell ref="E16:P16"/>
    <mergeCell ref="K23:L23"/>
    <mergeCell ref="K24:L24"/>
    <mergeCell ref="K25:L25"/>
  </mergeCells>
  <phoneticPr fontId="7" type="noConversion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C6A54-D703-4BCE-A9DD-43BD44A6D812}">
  <sheetPr codeName="Sheet2">
    <tabColor rgb="FFFFFF00"/>
  </sheetPr>
  <dimension ref="B2:AH28"/>
  <sheetViews>
    <sheetView topLeftCell="A2" workbookViewId="0">
      <selection activeCell="L3" sqref="L3:L6"/>
    </sheetView>
  </sheetViews>
  <sheetFormatPr defaultRowHeight="14.25" x14ac:dyDescent="0.2"/>
  <cols>
    <col min="4" max="4" width="11.25" bestFit="1" customWidth="1"/>
    <col min="5" max="5" width="7.875" bestFit="1" customWidth="1"/>
    <col min="6" max="6" width="26.875" bestFit="1" customWidth="1"/>
    <col min="7" max="7" width="14.875" bestFit="1" customWidth="1"/>
    <col min="8" max="8" width="7.875" bestFit="1" customWidth="1"/>
    <col min="9" max="9" width="27.5" bestFit="1" customWidth="1"/>
    <col min="12" max="12" width="15.25" bestFit="1" customWidth="1"/>
    <col min="17" max="34" width="0" hidden="1" customWidth="1"/>
  </cols>
  <sheetData>
    <row r="2" spans="2:34" x14ac:dyDescent="0.2">
      <c r="C2" t="s">
        <v>61</v>
      </c>
    </row>
    <row r="3" spans="2:34" x14ac:dyDescent="0.2">
      <c r="C3" s="13">
        <v>-2</v>
      </c>
      <c r="D3" s="13">
        <v>0</v>
      </c>
      <c r="E3">
        <v>1</v>
      </c>
      <c r="F3" s="13">
        <v>2</v>
      </c>
      <c r="G3" s="16">
        <v>3</v>
      </c>
      <c r="H3">
        <v>4</v>
      </c>
      <c r="I3" s="16">
        <v>5</v>
      </c>
      <c r="J3" s="16">
        <v>6</v>
      </c>
      <c r="K3">
        <v>7</v>
      </c>
      <c r="L3" s="16">
        <v>8</v>
      </c>
      <c r="M3" s="16">
        <v>9</v>
      </c>
      <c r="N3">
        <v>10</v>
      </c>
      <c r="O3" s="16">
        <v>11</v>
      </c>
      <c r="P3" s="16">
        <v>12</v>
      </c>
      <c r="Q3">
        <v>13</v>
      </c>
      <c r="R3" s="16">
        <v>14</v>
      </c>
      <c r="S3" s="16">
        <v>15</v>
      </c>
      <c r="T3">
        <v>16</v>
      </c>
      <c r="U3" s="16">
        <v>17</v>
      </c>
      <c r="V3" s="16">
        <v>18</v>
      </c>
      <c r="W3">
        <v>19</v>
      </c>
      <c r="X3" s="16">
        <v>20</v>
      </c>
      <c r="Y3" s="16">
        <v>21</v>
      </c>
      <c r="Z3">
        <v>22</v>
      </c>
      <c r="AA3" s="16">
        <v>23</v>
      </c>
      <c r="AB3" s="16">
        <v>24</v>
      </c>
      <c r="AC3">
        <v>25</v>
      </c>
      <c r="AD3" s="16">
        <v>26</v>
      </c>
      <c r="AE3" s="16">
        <v>27</v>
      </c>
      <c r="AF3">
        <v>28</v>
      </c>
      <c r="AG3" s="16">
        <v>29</v>
      </c>
      <c r="AH3" s="16">
        <v>30</v>
      </c>
    </row>
    <row r="4" spans="2:34" hidden="1" x14ac:dyDescent="0.2">
      <c r="C4" s="16">
        <f>C3</f>
        <v>-2</v>
      </c>
      <c r="D4" s="16">
        <f>C4+ABS(C4)</f>
        <v>0</v>
      </c>
      <c r="E4">
        <f>E3</f>
        <v>1</v>
      </c>
      <c r="F4">
        <f t="shared" ref="F4:P4" si="0">F3</f>
        <v>2</v>
      </c>
      <c r="G4">
        <f t="shared" si="0"/>
        <v>3</v>
      </c>
      <c r="H4">
        <f t="shared" si="0"/>
        <v>4</v>
      </c>
      <c r="I4">
        <f t="shared" si="0"/>
        <v>5</v>
      </c>
      <c r="J4">
        <f t="shared" si="0"/>
        <v>6</v>
      </c>
      <c r="K4">
        <f t="shared" si="0"/>
        <v>7</v>
      </c>
      <c r="L4">
        <f t="shared" si="0"/>
        <v>8</v>
      </c>
      <c r="M4">
        <f t="shared" si="0"/>
        <v>9</v>
      </c>
      <c r="N4">
        <f t="shared" si="0"/>
        <v>10</v>
      </c>
      <c r="O4">
        <f t="shared" si="0"/>
        <v>11</v>
      </c>
      <c r="P4">
        <f t="shared" si="0"/>
        <v>12</v>
      </c>
      <c r="Q4">
        <f t="shared" ref="Q4" si="1">Q3</f>
        <v>13</v>
      </c>
      <c r="R4">
        <f t="shared" ref="R4" si="2">R3</f>
        <v>14</v>
      </c>
      <c r="S4">
        <f t="shared" ref="S4" si="3">S3</f>
        <v>15</v>
      </c>
      <c r="T4">
        <f t="shared" ref="T4" si="4">T3</f>
        <v>16</v>
      </c>
      <c r="U4">
        <f t="shared" ref="U4" si="5">U3</f>
        <v>17</v>
      </c>
      <c r="V4">
        <f t="shared" ref="V4" si="6">V3</f>
        <v>18</v>
      </c>
      <c r="W4">
        <f t="shared" ref="W4" si="7">W3</f>
        <v>19</v>
      </c>
      <c r="X4">
        <f t="shared" ref="X4" si="8">X3</f>
        <v>20</v>
      </c>
      <c r="Y4">
        <f t="shared" ref="Y4" si="9">Y3</f>
        <v>21</v>
      </c>
      <c r="Z4">
        <f t="shared" ref="Z4" si="10">Z3</f>
        <v>22</v>
      </c>
      <c r="AA4">
        <f t="shared" ref="AA4" si="11">AA3</f>
        <v>23</v>
      </c>
      <c r="AB4">
        <f t="shared" ref="AB4" si="12">AB3</f>
        <v>24</v>
      </c>
      <c r="AC4">
        <f t="shared" ref="AC4" si="13">AC3</f>
        <v>25</v>
      </c>
      <c r="AD4">
        <f t="shared" ref="AD4" si="14">AD3</f>
        <v>26</v>
      </c>
      <c r="AE4">
        <f t="shared" ref="AE4" si="15">AE3</f>
        <v>27</v>
      </c>
      <c r="AF4">
        <f t="shared" ref="AF4" si="16">AF3</f>
        <v>28</v>
      </c>
      <c r="AG4">
        <f t="shared" ref="AG4" si="17">AG3</f>
        <v>29</v>
      </c>
      <c r="AH4">
        <f t="shared" ref="AH4" si="18">AH3</f>
        <v>30</v>
      </c>
    </row>
    <row r="5" spans="2:34" x14ac:dyDescent="0.2">
      <c r="C5" s="13" t="s">
        <v>34</v>
      </c>
      <c r="D5" s="13" t="s">
        <v>35</v>
      </c>
      <c r="F5" s="13" t="s">
        <v>36</v>
      </c>
      <c r="I5" s="13" t="s">
        <v>37</v>
      </c>
      <c r="L5" s="13" t="s">
        <v>38</v>
      </c>
    </row>
    <row r="6" spans="2:34" x14ac:dyDescent="0.2">
      <c r="C6" s="19">
        <f>experimental_design!F8</f>
        <v>43836</v>
      </c>
      <c r="D6" s="19">
        <f>C6+ABS(C4)</f>
        <v>43838</v>
      </c>
      <c r="E6" s="19">
        <f>$D$6+E4</f>
        <v>43839</v>
      </c>
      <c r="F6" s="19">
        <f t="shared" ref="F6:AH6" si="19">$D$6+F4</f>
        <v>43840</v>
      </c>
      <c r="G6" s="19">
        <f t="shared" si="19"/>
        <v>43841</v>
      </c>
      <c r="H6" s="19">
        <f t="shared" si="19"/>
        <v>43842</v>
      </c>
      <c r="I6" s="19">
        <f t="shared" si="19"/>
        <v>43843</v>
      </c>
      <c r="J6" s="19">
        <f t="shared" si="19"/>
        <v>43844</v>
      </c>
      <c r="K6" s="19">
        <f t="shared" si="19"/>
        <v>43845</v>
      </c>
      <c r="L6" s="19">
        <f t="shared" si="19"/>
        <v>43846</v>
      </c>
      <c r="M6" s="19">
        <f t="shared" si="19"/>
        <v>43847</v>
      </c>
      <c r="N6" s="19">
        <f t="shared" si="19"/>
        <v>43848</v>
      </c>
      <c r="O6" s="19">
        <f t="shared" si="19"/>
        <v>43849</v>
      </c>
      <c r="P6" s="19">
        <f t="shared" si="19"/>
        <v>43850</v>
      </c>
      <c r="Q6" s="19">
        <f t="shared" si="19"/>
        <v>43851</v>
      </c>
      <c r="R6" s="19">
        <f t="shared" si="19"/>
        <v>43852</v>
      </c>
      <c r="S6" s="19">
        <f t="shared" si="19"/>
        <v>43853</v>
      </c>
      <c r="T6" s="19">
        <f t="shared" si="19"/>
        <v>43854</v>
      </c>
      <c r="U6" s="19">
        <f t="shared" si="19"/>
        <v>43855</v>
      </c>
      <c r="V6" s="19">
        <f t="shared" si="19"/>
        <v>43856</v>
      </c>
      <c r="W6" s="19">
        <f t="shared" si="19"/>
        <v>43857</v>
      </c>
      <c r="X6" s="19">
        <f t="shared" si="19"/>
        <v>43858</v>
      </c>
      <c r="Y6" s="19">
        <f t="shared" si="19"/>
        <v>43859</v>
      </c>
      <c r="Z6" s="19">
        <f t="shared" si="19"/>
        <v>43860</v>
      </c>
      <c r="AA6" s="19">
        <f t="shared" si="19"/>
        <v>43861</v>
      </c>
      <c r="AB6" s="19">
        <f t="shared" si="19"/>
        <v>43862</v>
      </c>
      <c r="AC6" s="19">
        <f t="shared" si="19"/>
        <v>43863</v>
      </c>
      <c r="AD6" s="19">
        <f t="shared" si="19"/>
        <v>43864</v>
      </c>
      <c r="AE6" s="19">
        <f t="shared" si="19"/>
        <v>43865</v>
      </c>
      <c r="AF6" s="19">
        <f t="shared" si="19"/>
        <v>43866</v>
      </c>
      <c r="AG6" s="19">
        <f t="shared" si="19"/>
        <v>43867</v>
      </c>
      <c r="AH6" s="19">
        <f t="shared" si="19"/>
        <v>43868</v>
      </c>
    </row>
    <row r="8" spans="2:34" x14ac:dyDescent="0.2">
      <c r="C8" s="15"/>
      <c r="D8" s="15"/>
      <c r="E8" s="15"/>
      <c r="F8" s="15"/>
    </row>
    <row r="9" spans="2:34" x14ac:dyDescent="0.2">
      <c r="B9" s="24" t="s">
        <v>60</v>
      </c>
      <c r="C9" s="24"/>
      <c r="D9" s="24"/>
      <c r="E9" s="24"/>
      <c r="F9" s="24"/>
      <c r="G9" s="24"/>
    </row>
    <row r="10" spans="2:34" x14ac:dyDescent="0.2">
      <c r="B10" s="32"/>
      <c r="C10" s="32"/>
      <c r="D10" s="32"/>
      <c r="E10" s="32"/>
      <c r="F10" s="32"/>
      <c r="G10" s="32"/>
    </row>
    <row r="11" spans="2:34" x14ac:dyDescent="0.2">
      <c r="B11" s="32"/>
      <c r="C11" s="32"/>
      <c r="D11" s="32"/>
      <c r="E11" s="32"/>
      <c r="F11" s="32"/>
      <c r="G11" s="32"/>
    </row>
    <row r="12" spans="2:34" x14ac:dyDescent="0.2">
      <c r="B12" s="32"/>
      <c r="C12" s="32"/>
      <c r="D12" s="32"/>
      <c r="E12" s="32"/>
      <c r="F12" s="32"/>
      <c r="G12" s="32"/>
    </row>
    <row r="13" spans="2:34" x14ac:dyDescent="0.2">
      <c r="B13" s="32"/>
      <c r="C13" s="32"/>
      <c r="D13" s="32"/>
      <c r="E13" s="32"/>
      <c r="F13" s="32"/>
      <c r="G13" s="32"/>
    </row>
    <row r="14" spans="2:34" x14ac:dyDescent="0.2">
      <c r="B14" s="32"/>
      <c r="C14" s="32"/>
      <c r="D14" s="32"/>
      <c r="E14" s="32"/>
      <c r="F14" s="32"/>
      <c r="G14" s="32"/>
    </row>
    <row r="15" spans="2:34" x14ac:dyDescent="0.2">
      <c r="B15" s="32"/>
      <c r="C15" s="32"/>
      <c r="D15" s="32"/>
      <c r="E15" s="32"/>
      <c r="F15" s="32"/>
      <c r="G15" s="32"/>
    </row>
    <row r="16" spans="2:34" x14ac:dyDescent="0.2">
      <c r="B16" s="32"/>
      <c r="C16" s="32"/>
      <c r="D16" s="32"/>
      <c r="E16" s="32"/>
      <c r="F16" s="32"/>
      <c r="G16" s="32"/>
    </row>
    <row r="17" spans="2:7" x14ac:dyDescent="0.2">
      <c r="B17" s="32"/>
      <c r="C17" s="32"/>
      <c r="D17" s="32"/>
      <c r="E17" s="32"/>
      <c r="F17" s="32"/>
      <c r="G17" s="32"/>
    </row>
    <row r="18" spans="2:7" x14ac:dyDescent="0.2">
      <c r="B18" s="32"/>
      <c r="C18" s="32"/>
      <c r="D18" s="32"/>
      <c r="E18" s="32"/>
      <c r="F18" s="32"/>
      <c r="G18" s="32"/>
    </row>
    <row r="19" spans="2:7" x14ac:dyDescent="0.2">
      <c r="B19" s="32"/>
      <c r="C19" s="32"/>
      <c r="D19" s="32"/>
      <c r="E19" s="32"/>
      <c r="F19" s="32"/>
      <c r="G19" s="32"/>
    </row>
    <row r="20" spans="2:7" x14ac:dyDescent="0.2">
      <c r="B20" s="32"/>
      <c r="C20" s="32"/>
      <c r="D20" s="32"/>
      <c r="E20" s="32"/>
      <c r="F20" s="32"/>
      <c r="G20" s="32"/>
    </row>
    <row r="21" spans="2:7" x14ac:dyDescent="0.2">
      <c r="B21" s="32"/>
      <c r="C21" s="32"/>
      <c r="D21" s="32"/>
      <c r="E21" s="32"/>
      <c r="F21" s="32"/>
      <c r="G21" s="32"/>
    </row>
    <row r="22" spans="2:7" x14ac:dyDescent="0.2">
      <c r="B22" s="32"/>
      <c r="C22" s="32"/>
      <c r="D22" s="32"/>
      <c r="E22" s="32"/>
      <c r="F22" s="32"/>
      <c r="G22" s="32"/>
    </row>
    <row r="23" spans="2:7" x14ac:dyDescent="0.2">
      <c r="B23" s="32"/>
      <c r="C23" s="32"/>
      <c r="D23" s="32"/>
      <c r="E23" s="32"/>
      <c r="F23" s="32"/>
      <c r="G23" s="32"/>
    </row>
    <row r="24" spans="2:7" x14ac:dyDescent="0.2">
      <c r="B24" s="32"/>
      <c r="C24" s="32"/>
      <c r="D24" s="32"/>
      <c r="E24" s="32"/>
      <c r="F24" s="32"/>
      <c r="G24" s="32"/>
    </row>
    <row r="27" spans="2:7" x14ac:dyDescent="0.2">
      <c r="C27" s="24" t="s">
        <v>39</v>
      </c>
      <c r="D27" s="24"/>
      <c r="E27" s="24" t="s">
        <v>41</v>
      </c>
      <c r="F27" s="24"/>
    </row>
    <row r="28" spans="2:7" x14ac:dyDescent="0.2">
      <c r="C28" s="24" t="s">
        <v>40</v>
      </c>
      <c r="D28" s="24"/>
      <c r="E28" s="24" t="s">
        <v>42</v>
      </c>
      <c r="F28" s="24"/>
    </row>
  </sheetData>
  <mergeCells count="6">
    <mergeCell ref="B9:G9"/>
    <mergeCell ref="C27:D27"/>
    <mergeCell ref="C28:D28"/>
    <mergeCell ref="E27:F27"/>
    <mergeCell ref="E28:F28"/>
    <mergeCell ref="B10:G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170FE-9286-4F87-A3DD-013136112E84}">
  <sheetPr codeName="Sheet3">
    <tabColor rgb="FF00B0F0"/>
    <pageSetUpPr autoPageBreaks="0"/>
  </sheetPr>
  <dimension ref="A1:M33"/>
  <sheetViews>
    <sheetView zoomScaleNormal="100" workbookViewId="0">
      <selection sqref="A1:I15"/>
    </sheetView>
  </sheetViews>
  <sheetFormatPr defaultRowHeight="14.25" x14ac:dyDescent="0.2"/>
  <cols>
    <col min="1" max="1" width="14.75" bestFit="1" customWidth="1"/>
    <col min="3" max="3" width="10.125" bestFit="1" customWidth="1"/>
    <col min="5" max="5" width="11.125" bestFit="1" customWidth="1"/>
    <col min="8" max="8" width="13.25" bestFit="1" customWidth="1"/>
    <col min="9" max="9" width="13.375" bestFit="1" customWidth="1"/>
    <col min="14" max="14" width="14.25" bestFit="1" customWidth="1"/>
    <col min="29" max="29" width="14.75" bestFit="1" customWidth="1"/>
    <col min="32" max="32" width="14.75" bestFit="1" customWidth="1"/>
  </cols>
  <sheetData>
    <row r="1" spans="1:10" x14ac:dyDescent="0.2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62</v>
      </c>
      <c r="G1" t="s">
        <v>68</v>
      </c>
      <c r="H1" t="s">
        <v>69</v>
      </c>
      <c r="I1" t="s">
        <v>70</v>
      </c>
      <c r="J1" t="s">
        <v>71</v>
      </c>
    </row>
    <row r="2" spans="1:10" x14ac:dyDescent="0.2">
      <c r="A2" t="str" cm="1">
        <f t="array" ref="A2:A33">TRANSPOSE(aid!A1:AF1)</f>
        <v>cc2-1a Day_-2</v>
      </c>
      <c r="B2" t="s">
        <v>73</v>
      </c>
      <c r="C2" s="22">
        <v>0.375</v>
      </c>
      <c r="D2" s="19">
        <f t="array" ref="D2:D33">TRANSPOSE(aid!A2:AF2)</f>
        <v>43836</v>
      </c>
      <c r="E2" s="22">
        <v>0.41666666666666669</v>
      </c>
      <c r="F2" s="19">
        <f>D2</f>
        <v>43836</v>
      </c>
      <c r="G2" t="s">
        <v>74</v>
      </c>
      <c r="H2" s="19">
        <f>D2</f>
        <v>43836</v>
      </c>
      <c r="I2" s="21">
        <f>C2-TIME(1,0,0)</f>
        <v>0.33333333333333331</v>
      </c>
    </row>
    <row r="3" spans="1:10" x14ac:dyDescent="0.2">
      <c r="A3" t="str">
        <v>cc2-1a Day_0</v>
      </c>
      <c r="B3" t="s">
        <v>73</v>
      </c>
      <c r="C3" s="22">
        <v>0.375</v>
      </c>
      <c r="D3" s="19">
        <v>43838</v>
      </c>
      <c r="E3" s="22">
        <v>0.41666666666666669</v>
      </c>
      <c r="F3" s="19">
        <f t="shared" ref="F3:F33" si="0">D3</f>
        <v>43838</v>
      </c>
      <c r="G3" t="s">
        <v>74</v>
      </c>
      <c r="H3" s="19">
        <f t="shared" ref="H3:H33" si="1">D3</f>
        <v>43838</v>
      </c>
      <c r="I3" s="21">
        <f t="shared" ref="I3:I33" si="2">C3-TIME(1,0,0)</f>
        <v>0.33333333333333331</v>
      </c>
    </row>
    <row r="4" spans="1:10" x14ac:dyDescent="0.2">
      <c r="A4" t="str">
        <v>cc2-1a Day_1</v>
      </c>
      <c r="B4" t="s">
        <v>73</v>
      </c>
      <c r="C4" s="22">
        <v>0.375</v>
      </c>
      <c r="D4" s="19">
        <v>43839</v>
      </c>
      <c r="E4" s="22">
        <v>0.41666666666666669</v>
      </c>
      <c r="F4" s="19">
        <f t="shared" si="0"/>
        <v>43839</v>
      </c>
      <c r="G4" t="s">
        <v>74</v>
      </c>
      <c r="H4" s="19">
        <f t="shared" si="1"/>
        <v>43839</v>
      </c>
      <c r="I4" s="21">
        <f t="shared" si="2"/>
        <v>0.33333333333333331</v>
      </c>
    </row>
    <row r="5" spans="1:10" x14ac:dyDescent="0.2">
      <c r="A5" t="str">
        <v>cc2-1a Day_2</v>
      </c>
      <c r="B5" t="s">
        <v>73</v>
      </c>
      <c r="C5" s="22">
        <v>0.375</v>
      </c>
      <c r="D5" s="19">
        <v>43840</v>
      </c>
      <c r="E5" s="22">
        <v>0.41666666666666669</v>
      </c>
      <c r="F5" s="19">
        <f t="shared" si="0"/>
        <v>43840</v>
      </c>
      <c r="G5" t="s">
        <v>74</v>
      </c>
      <c r="H5" s="19">
        <f t="shared" si="1"/>
        <v>43840</v>
      </c>
      <c r="I5" s="21">
        <f t="shared" si="2"/>
        <v>0.33333333333333331</v>
      </c>
    </row>
    <row r="6" spans="1:10" x14ac:dyDescent="0.2">
      <c r="A6" t="str">
        <v>cc2-1a Day_3</v>
      </c>
      <c r="B6" t="s">
        <v>73</v>
      </c>
      <c r="C6" s="22">
        <v>0.375</v>
      </c>
      <c r="D6" s="19">
        <v>43841</v>
      </c>
      <c r="E6" s="22">
        <v>0.41666666666666669</v>
      </c>
      <c r="F6" s="19">
        <f t="shared" si="0"/>
        <v>43841</v>
      </c>
      <c r="G6" t="s">
        <v>74</v>
      </c>
      <c r="H6" s="19">
        <f t="shared" si="1"/>
        <v>43841</v>
      </c>
      <c r="I6" s="21">
        <f t="shared" si="2"/>
        <v>0.33333333333333331</v>
      </c>
    </row>
    <row r="7" spans="1:10" x14ac:dyDescent="0.2">
      <c r="A7" t="str">
        <v>cc2-1a Day_4</v>
      </c>
      <c r="B7" t="s">
        <v>73</v>
      </c>
      <c r="C7" s="22">
        <v>0.375</v>
      </c>
      <c r="D7" s="19">
        <v>43842</v>
      </c>
      <c r="E7" s="22">
        <v>0.41666666666666669</v>
      </c>
      <c r="F7" s="19">
        <f t="shared" si="0"/>
        <v>43842</v>
      </c>
      <c r="G7" t="s">
        <v>74</v>
      </c>
      <c r="H7" s="19">
        <f t="shared" si="1"/>
        <v>43842</v>
      </c>
      <c r="I7" s="21">
        <f t="shared" si="2"/>
        <v>0.33333333333333331</v>
      </c>
    </row>
    <row r="8" spans="1:10" x14ac:dyDescent="0.2">
      <c r="A8" t="str">
        <v>cc2-1a Day_5</v>
      </c>
      <c r="B8" t="s">
        <v>73</v>
      </c>
      <c r="C8" s="22">
        <v>0.375</v>
      </c>
      <c r="D8" s="19">
        <v>43843</v>
      </c>
      <c r="E8" s="22">
        <v>0.41666666666666669</v>
      </c>
      <c r="F8" s="19">
        <f t="shared" si="0"/>
        <v>43843</v>
      </c>
      <c r="G8" t="s">
        <v>74</v>
      </c>
      <c r="H8" s="19">
        <f t="shared" si="1"/>
        <v>43843</v>
      </c>
      <c r="I8" s="21">
        <f t="shared" si="2"/>
        <v>0.33333333333333331</v>
      </c>
    </row>
    <row r="9" spans="1:10" x14ac:dyDescent="0.2">
      <c r="A9" t="str">
        <v>cc2-1a Day_6</v>
      </c>
      <c r="B9" t="s">
        <v>73</v>
      </c>
      <c r="C9" s="22">
        <v>0.375</v>
      </c>
      <c r="D9" s="19">
        <v>43844</v>
      </c>
      <c r="E9" s="22">
        <v>0.41666666666666669</v>
      </c>
      <c r="F9" s="19">
        <f t="shared" si="0"/>
        <v>43844</v>
      </c>
      <c r="G9" t="s">
        <v>74</v>
      </c>
      <c r="H9" s="19">
        <f t="shared" si="1"/>
        <v>43844</v>
      </c>
      <c r="I9" s="21">
        <f t="shared" si="2"/>
        <v>0.33333333333333331</v>
      </c>
    </row>
    <row r="10" spans="1:10" x14ac:dyDescent="0.2">
      <c r="A10" t="str">
        <v>cc2-1a Day_7</v>
      </c>
      <c r="B10" t="s">
        <v>73</v>
      </c>
      <c r="C10" s="22">
        <v>0.375</v>
      </c>
      <c r="D10" s="19">
        <v>43845</v>
      </c>
      <c r="E10" s="22">
        <v>0.41666666666666669</v>
      </c>
      <c r="F10" s="19">
        <f t="shared" si="0"/>
        <v>43845</v>
      </c>
      <c r="G10" t="s">
        <v>74</v>
      </c>
      <c r="H10" s="19">
        <f t="shared" si="1"/>
        <v>43845</v>
      </c>
      <c r="I10" s="21">
        <f t="shared" si="2"/>
        <v>0.33333333333333331</v>
      </c>
    </row>
    <row r="11" spans="1:10" x14ac:dyDescent="0.2">
      <c r="A11" t="str">
        <v>cc2-1a Day_8</v>
      </c>
      <c r="B11" t="s">
        <v>73</v>
      </c>
      <c r="C11" s="22">
        <v>0.375</v>
      </c>
      <c r="D11" s="19">
        <v>43846</v>
      </c>
      <c r="E11" s="22">
        <v>0.41666666666666669</v>
      </c>
      <c r="F11" s="19">
        <f t="shared" si="0"/>
        <v>43846</v>
      </c>
      <c r="G11" t="s">
        <v>74</v>
      </c>
      <c r="H11" s="19">
        <f t="shared" si="1"/>
        <v>43846</v>
      </c>
      <c r="I11" s="21">
        <f t="shared" si="2"/>
        <v>0.33333333333333331</v>
      </c>
    </row>
    <row r="12" spans="1:10" x14ac:dyDescent="0.2">
      <c r="A12" t="str">
        <v>cc2-1a Day_9</v>
      </c>
      <c r="B12" t="s">
        <v>73</v>
      </c>
      <c r="C12" s="22">
        <v>0.375</v>
      </c>
      <c r="D12" s="19">
        <v>43847</v>
      </c>
      <c r="E12" s="22">
        <v>0.41666666666666669</v>
      </c>
      <c r="F12" s="19">
        <f t="shared" si="0"/>
        <v>43847</v>
      </c>
      <c r="G12" t="s">
        <v>74</v>
      </c>
      <c r="H12" s="19">
        <f t="shared" si="1"/>
        <v>43847</v>
      </c>
      <c r="I12" s="21">
        <f t="shared" si="2"/>
        <v>0.33333333333333331</v>
      </c>
    </row>
    <row r="13" spans="1:10" x14ac:dyDescent="0.2">
      <c r="A13" t="str">
        <v>cc2-1a Day_10</v>
      </c>
      <c r="B13" t="s">
        <v>73</v>
      </c>
      <c r="C13" s="22">
        <v>0.375</v>
      </c>
      <c r="D13" s="19">
        <v>43848</v>
      </c>
      <c r="E13" s="22">
        <v>0.41666666666666669</v>
      </c>
      <c r="F13" s="19">
        <f t="shared" si="0"/>
        <v>43848</v>
      </c>
      <c r="G13" t="s">
        <v>74</v>
      </c>
      <c r="H13" s="19">
        <f t="shared" si="1"/>
        <v>43848</v>
      </c>
      <c r="I13" s="21">
        <f t="shared" si="2"/>
        <v>0.33333333333333331</v>
      </c>
    </row>
    <row r="14" spans="1:10" x14ac:dyDescent="0.2">
      <c r="A14" t="str">
        <v>cc2-1a Day_11</v>
      </c>
      <c r="B14" t="s">
        <v>73</v>
      </c>
      <c r="C14" s="22">
        <v>0.375</v>
      </c>
      <c r="D14" s="19">
        <v>43849</v>
      </c>
      <c r="E14" s="22">
        <v>0.41666666666666669</v>
      </c>
      <c r="F14" s="19">
        <f t="shared" si="0"/>
        <v>43849</v>
      </c>
      <c r="G14" t="s">
        <v>74</v>
      </c>
      <c r="H14" s="19">
        <f t="shared" si="1"/>
        <v>43849</v>
      </c>
      <c r="I14" s="21">
        <f t="shared" si="2"/>
        <v>0.33333333333333331</v>
      </c>
    </row>
    <row r="15" spans="1:10" x14ac:dyDescent="0.2">
      <c r="A15" t="str">
        <v>cc2-1a Day_12</v>
      </c>
      <c r="B15" t="s">
        <v>73</v>
      </c>
      <c r="C15" s="22">
        <v>0.375</v>
      </c>
      <c r="D15" s="19">
        <v>43850</v>
      </c>
      <c r="E15" s="22">
        <v>0.41666666666666669</v>
      </c>
      <c r="F15" s="19">
        <f t="shared" si="0"/>
        <v>43850</v>
      </c>
      <c r="G15" t="s">
        <v>74</v>
      </c>
      <c r="H15" s="19">
        <f t="shared" si="1"/>
        <v>43850</v>
      </c>
      <c r="I15" s="21">
        <f t="shared" si="2"/>
        <v>0.33333333333333331</v>
      </c>
    </row>
    <row r="16" spans="1:10" hidden="1" x14ac:dyDescent="0.2">
      <c r="A16" t="str">
        <v>cc2-1a Day_13</v>
      </c>
      <c r="B16" t="s">
        <v>73</v>
      </c>
      <c r="C16" s="22">
        <v>0.375</v>
      </c>
      <c r="D16" s="19">
        <v>43851</v>
      </c>
      <c r="E16" s="22">
        <v>0.41666666666666669</v>
      </c>
      <c r="F16" s="19">
        <f t="shared" si="0"/>
        <v>43851</v>
      </c>
      <c r="G16" t="s">
        <v>74</v>
      </c>
      <c r="H16" s="19">
        <f t="shared" si="1"/>
        <v>43851</v>
      </c>
      <c r="I16" s="21">
        <f t="shared" si="2"/>
        <v>0.33333333333333331</v>
      </c>
    </row>
    <row r="17" spans="1:13" hidden="1" x14ac:dyDescent="0.2">
      <c r="A17" t="str">
        <v>cc2-1a Day_14</v>
      </c>
      <c r="B17" t="s">
        <v>73</v>
      </c>
      <c r="C17" s="22">
        <v>0.375</v>
      </c>
      <c r="D17" s="19">
        <v>43852</v>
      </c>
      <c r="E17" s="22">
        <v>0.41666666666666669</v>
      </c>
      <c r="F17" s="19">
        <f t="shared" si="0"/>
        <v>43852</v>
      </c>
      <c r="G17" t="s">
        <v>74</v>
      </c>
      <c r="H17" s="19">
        <f t="shared" si="1"/>
        <v>43852</v>
      </c>
      <c r="I17" s="21">
        <f t="shared" si="2"/>
        <v>0.33333333333333331</v>
      </c>
    </row>
    <row r="18" spans="1:13" hidden="1" x14ac:dyDescent="0.2">
      <c r="A18" t="str">
        <v>cc2-1a Day_15</v>
      </c>
      <c r="B18" t="s">
        <v>73</v>
      </c>
      <c r="C18" s="22">
        <v>0.375</v>
      </c>
      <c r="D18" s="19">
        <v>43853</v>
      </c>
      <c r="E18" s="22">
        <v>0.41666666666666669</v>
      </c>
      <c r="F18" s="19">
        <f t="shared" si="0"/>
        <v>43853</v>
      </c>
      <c r="G18" t="s">
        <v>74</v>
      </c>
      <c r="H18" s="19">
        <f t="shared" si="1"/>
        <v>43853</v>
      </c>
      <c r="I18" s="21">
        <f t="shared" si="2"/>
        <v>0.33333333333333331</v>
      </c>
    </row>
    <row r="19" spans="1:13" hidden="1" x14ac:dyDescent="0.2">
      <c r="A19" t="str">
        <v>cc2-1a Day_16</v>
      </c>
      <c r="B19" t="s">
        <v>73</v>
      </c>
      <c r="C19" s="22">
        <v>0.375</v>
      </c>
      <c r="D19" s="19">
        <v>43854</v>
      </c>
      <c r="E19" s="22">
        <v>0.41666666666666669</v>
      </c>
      <c r="F19" s="19">
        <f t="shared" si="0"/>
        <v>43854</v>
      </c>
      <c r="G19" t="s">
        <v>74</v>
      </c>
      <c r="H19" s="19">
        <f t="shared" si="1"/>
        <v>43854</v>
      </c>
      <c r="I19" s="21">
        <f t="shared" si="2"/>
        <v>0.33333333333333331</v>
      </c>
    </row>
    <row r="20" spans="1:13" hidden="1" x14ac:dyDescent="0.2">
      <c r="A20" t="str">
        <v>cc2-1a Day_17</v>
      </c>
      <c r="B20" t="s">
        <v>73</v>
      </c>
      <c r="C20" s="22">
        <v>0.375</v>
      </c>
      <c r="D20" s="19">
        <v>43855</v>
      </c>
      <c r="E20" s="22">
        <v>0.41666666666666669</v>
      </c>
      <c r="F20" s="19">
        <f t="shared" si="0"/>
        <v>43855</v>
      </c>
      <c r="G20" t="s">
        <v>74</v>
      </c>
      <c r="H20" s="19">
        <f t="shared" si="1"/>
        <v>43855</v>
      </c>
      <c r="I20" s="21">
        <f t="shared" si="2"/>
        <v>0.33333333333333331</v>
      </c>
    </row>
    <row r="21" spans="1:13" hidden="1" x14ac:dyDescent="0.2">
      <c r="A21" t="str">
        <v>cc2-1a Day_18</v>
      </c>
      <c r="B21" t="s">
        <v>73</v>
      </c>
      <c r="C21" s="22">
        <v>0.375</v>
      </c>
      <c r="D21" s="19">
        <v>43856</v>
      </c>
      <c r="E21" s="22">
        <v>0.41666666666666669</v>
      </c>
      <c r="F21" s="19">
        <f t="shared" si="0"/>
        <v>43856</v>
      </c>
      <c r="G21" t="s">
        <v>74</v>
      </c>
      <c r="H21" s="19">
        <f t="shared" si="1"/>
        <v>43856</v>
      </c>
      <c r="I21" s="21">
        <f t="shared" si="2"/>
        <v>0.33333333333333331</v>
      </c>
    </row>
    <row r="22" spans="1:13" hidden="1" x14ac:dyDescent="0.2">
      <c r="A22" t="str">
        <v>cc2-1a Day_19</v>
      </c>
      <c r="B22" t="s">
        <v>73</v>
      </c>
      <c r="C22" s="22">
        <v>0.375</v>
      </c>
      <c r="D22" s="19">
        <v>43857</v>
      </c>
      <c r="E22" s="22">
        <v>0.41666666666666669</v>
      </c>
      <c r="F22" s="19">
        <f t="shared" si="0"/>
        <v>43857</v>
      </c>
      <c r="G22" t="s">
        <v>74</v>
      </c>
      <c r="H22" s="19">
        <f t="shared" si="1"/>
        <v>43857</v>
      </c>
      <c r="I22" s="21">
        <f t="shared" si="2"/>
        <v>0.33333333333333331</v>
      </c>
    </row>
    <row r="23" spans="1:13" hidden="1" x14ac:dyDescent="0.2">
      <c r="A23" t="str">
        <v>cc2-1a Day_20</v>
      </c>
      <c r="B23" t="s">
        <v>73</v>
      </c>
      <c r="C23" s="22">
        <v>0.375</v>
      </c>
      <c r="D23" s="19">
        <v>43858</v>
      </c>
      <c r="E23" s="22">
        <v>0.41666666666666669</v>
      </c>
      <c r="F23" s="19">
        <f t="shared" si="0"/>
        <v>43858</v>
      </c>
      <c r="G23" t="s">
        <v>74</v>
      </c>
      <c r="H23" s="19">
        <f t="shared" si="1"/>
        <v>43858</v>
      </c>
      <c r="I23" s="21">
        <f t="shared" si="2"/>
        <v>0.33333333333333331</v>
      </c>
    </row>
    <row r="24" spans="1:13" hidden="1" x14ac:dyDescent="0.2">
      <c r="A24" t="str">
        <v>cc2-1a Day_21</v>
      </c>
      <c r="B24" t="s">
        <v>73</v>
      </c>
      <c r="C24" s="22">
        <v>0.375</v>
      </c>
      <c r="D24" s="19">
        <v>43859</v>
      </c>
      <c r="E24" s="22">
        <v>0.41666666666666669</v>
      </c>
      <c r="F24" s="19">
        <f t="shared" si="0"/>
        <v>43859</v>
      </c>
      <c r="G24" t="s">
        <v>74</v>
      </c>
      <c r="H24" s="19">
        <f t="shared" si="1"/>
        <v>43859</v>
      </c>
      <c r="I24" s="21">
        <f t="shared" si="2"/>
        <v>0.33333333333333331</v>
      </c>
    </row>
    <row r="25" spans="1:13" hidden="1" x14ac:dyDescent="0.2">
      <c r="A25" t="str">
        <v>cc2-1a Day_22</v>
      </c>
      <c r="B25" t="s">
        <v>73</v>
      </c>
      <c r="C25" s="22">
        <v>0.375</v>
      </c>
      <c r="D25" s="19">
        <v>43860</v>
      </c>
      <c r="E25" s="22">
        <v>0.41666666666666669</v>
      </c>
      <c r="F25" s="19">
        <f t="shared" si="0"/>
        <v>43860</v>
      </c>
      <c r="G25" t="s">
        <v>74</v>
      </c>
      <c r="H25" s="19">
        <f t="shared" si="1"/>
        <v>43860</v>
      </c>
      <c r="I25" s="21">
        <f t="shared" si="2"/>
        <v>0.33333333333333331</v>
      </c>
    </row>
    <row r="26" spans="1:13" hidden="1" x14ac:dyDescent="0.2">
      <c r="A26" t="str">
        <v>cc2-1a Day_23</v>
      </c>
      <c r="B26" t="s">
        <v>73</v>
      </c>
      <c r="C26" s="22">
        <v>0.375</v>
      </c>
      <c r="D26" s="19">
        <v>43861</v>
      </c>
      <c r="E26" s="22">
        <v>0.41666666666666669</v>
      </c>
      <c r="F26" s="19">
        <f t="shared" si="0"/>
        <v>43861</v>
      </c>
      <c r="G26" t="s">
        <v>74</v>
      </c>
      <c r="H26" s="19">
        <f t="shared" si="1"/>
        <v>43861</v>
      </c>
      <c r="I26" s="21">
        <f t="shared" si="2"/>
        <v>0.33333333333333331</v>
      </c>
    </row>
    <row r="27" spans="1:13" hidden="1" x14ac:dyDescent="0.2">
      <c r="A27" t="str">
        <v>cc2-1a Day_24</v>
      </c>
      <c r="B27" t="s">
        <v>73</v>
      </c>
      <c r="C27" s="22">
        <v>0.375</v>
      </c>
      <c r="D27" s="19">
        <v>43862</v>
      </c>
      <c r="E27" s="22">
        <v>0.41666666666666669</v>
      </c>
      <c r="F27" s="19">
        <f t="shared" si="0"/>
        <v>43862</v>
      </c>
      <c r="G27" t="s">
        <v>74</v>
      </c>
      <c r="H27" s="19">
        <f t="shared" si="1"/>
        <v>43862</v>
      </c>
      <c r="I27" s="21">
        <f t="shared" si="2"/>
        <v>0.33333333333333331</v>
      </c>
    </row>
    <row r="28" spans="1:13" hidden="1" x14ac:dyDescent="0.2">
      <c r="A28" t="str">
        <v>cc2-1a Day_25</v>
      </c>
      <c r="B28" t="s">
        <v>73</v>
      </c>
      <c r="C28" s="22">
        <v>0.375</v>
      </c>
      <c r="D28" s="19">
        <v>43863</v>
      </c>
      <c r="E28" s="22">
        <v>0.41666666666666669</v>
      </c>
      <c r="F28" s="19">
        <f t="shared" si="0"/>
        <v>43863</v>
      </c>
      <c r="G28" t="s">
        <v>74</v>
      </c>
      <c r="H28" s="19">
        <f t="shared" si="1"/>
        <v>43863</v>
      </c>
      <c r="I28" s="21">
        <f t="shared" si="2"/>
        <v>0.33333333333333331</v>
      </c>
    </row>
    <row r="29" spans="1:13" hidden="1" x14ac:dyDescent="0.2">
      <c r="A29" t="str">
        <v>cc2-1a Day_26</v>
      </c>
      <c r="B29" s="19" t="s">
        <v>73</v>
      </c>
      <c r="C29" s="22">
        <v>0.375</v>
      </c>
      <c r="D29" s="19">
        <v>43864</v>
      </c>
      <c r="E29" s="22">
        <v>0.41666666666666669</v>
      </c>
      <c r="F29" s="19">
        <f t="shared" si="0"/>
        <v>43864</v>
      </c>
      <c r="G29" t="s">
        <v>74</v>
      </c>
      <c r="H29" s="19">
        <f t="shared" si="1"/>
        <v>43864</v>
      </c>
      <c r="I29" s="21">
        <f t="shared" si="2"/>
        <v>0.33333333333333331</v>
      </c>
      <c r="J29" s="19"/>
      <c r="K29" s="19"/>
      <c r="L29" s="19"/>
      <c r="M29" s="19"/>
    </row>
    <row r="30" spans="1:13" hidden="1" x14ac:dyDescent="0.2">
      <c r="A30" t="str">
        <v>cc2-1a Day_27</v>
      </c>
      <c r="B30" t="s">
        <v>73</v>
      </c>
      <c r="C30" s="22">
        <v>0.375</v>
      </c>
      <c r="D30" s="19">
        <v>43865</v>
      </c>
      <c r="E30" s="22">
        <v>0.41666666666666669</v>
      </c>
      <c r="F30" s="19">
        <f t="shared" si="0"/>
        <v>43865</v>
      </c>
      <c r="G30" t="s">
        <v>74</v>
      </c>
      <c r="H30" s="19">
        <f t="shared" si="1"/>
        <v>43865</v>
      </c>
      <c r="I30" s="21">
        <f t="shared" si="2"/>
        <v>0.33333333333333331</v>
      </c>
    </row>
    <row r="31" spans="1:13" hidden="1" x14ac:dyDescent="0.2">
      <c r="A31" t="str">
        <v>cc2-1a Day_28</v>
      </c>
      <c r="B31" t="s">
        <v>73</v>
      </c>
      <c r="C31" s="22">
        <v>0.375</v>
      </c>
      <c r="D31" s="19">
        <v>43866</v>
      </c>
      <c r="E31" s="22">
        <v>0.41666666666666669</v>
      </c>
      <c r="F31" s="19">
        <f t="shared" si="0"/>
        <v>43866</v>
      </c>
      <c r="G31" t="s">
        <v>74</v>
      </c>
      <c r="H31" s="19">
        <f t="shared" si="1"/>
        <v>43866</v>
      </c>
      <c r="I31" s="21">
        <f t="shared" si="2"/>
        <v>0.33333333333333331</v>
      </c>
    </row>
    <row r="32" spans="1:13" hidden="1" x14ac:dyDescent="0.2">
      <c r="A32" t="str">
        <v>cc2-1a Day_29</v>
      </c>
      <c r="B32" t="s">
        <v>73</v>
      </c>
      <c r="C32" s="22">
        <v>0.375</v>
      </c>
      <c r="D32" s="19">
        <v>43867</v>
      </c>
      <c r="E32" s="22">
        <v>0.41666666666666669</v>
      </c>
      <c r="F32" s="19">
        <f t="shared" si="0"/>
        <v>43867</v>
      </c>
      <c r="G32" t="s">
        <v>74</v>
      </c>
      <c r="H32" s="19">
        <f t="shared" si="1"/>
        <v>43867</v>
      </c>
      <c r="I32" s="21">
        <f t="shared" si="2"/>
        <v>0.33333333333333331</v>
      </c>
    </row>
    <row r="33" spans="1:9" hidden="1" x14ac:dyDescent="0.2">
      <c r="A33" t="str">
        <v>cc2-1a Day_30</v>
      </c>
      <c r="B33" t="s">
        <v>73</v>
      </c>
      <c r="C33" s="22">
        <v>0.375</v>
      </c>
      <c r="D33" s="19">
        <v>43868</v>
      </c>
      <c r="E33" s="22">
        <v>0.41666666666666669</v>
      </c>
      <c r="F33" s="19">
        <f t="shared" si="0"/>
        <v>43868</v>
      </c>
      <c r="G33" t="s">
        <v>74</v>
      </c>
      <c r="H33" s="19">
        <f t="shared" si="1"/>
        <v>43868</v>
      </c>
      <c r="I33" s="21">
        <f t="shared" si="2"/>
        <v>0.33333333333333331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9C048-90B6-41DE-83FB-5EA169527D8C}">
  <sheetPr codeName="Sheet4"/>
  <dimension ref="A1:AO2"/>
  <sheetViews>
    <sheetView workbookViewId="0">
      <selection activeCell="AG1" sqref="AG1:AG1048576"/>
    </sheetView>
  </sheetViews>
  <sheetFormatPr defaultRowHeight="14.25" x14ac:dyDescent="0.2"/>
  <cols>
    <col min="1" max="1" width="14.375" bestFit="1" customWidth="1"/>
    <col min="32" max="32" width="14.75" bestFit="1" customWidth="1"/>
  </cols>
  <sheetData>
    <row r="1" spans="1:41" x14ac:dyDescent="0.2">
      <c r="A1" t="str">
        <f>_xlfn.CONCAT(experimental_design!$I$8," ",_xlfn.CONCAT(differentiation_protocol!$C$2,"_",differentiation_protocol!C3))</f>
        <v>cc2-1a Day_-2</v>
      </c>
      <c r="B1" t="str">
        <f>_xlfn.CONCAT(experimental_design!$I$8," ",_xlfn.CONCAT(differentiation_protocol!$C$2,"_",differentiation_protocol!D3))</f>
        <v>cc2-1a Day_0</v>
      </c>
      <c r="C1" t="str">
        <f>_xlfn.CONCAT(experimental_design!$I$8," ",_xlfn.CONCAT(differentiation_protocol!$C$2,"_",differentiation_protocol!E3))</f>
        <v>cc2-1a Day_1</v>
      </c>
      <c r="D1" t="str">
        <f>_xlfn.CONCAT(experimental_design!$I$8," ",_xlfn.CONCAT(differentiation_protocol!$C$2,"_",differentiation_protocol!F3))</f>
        <v>cc2-1a Day_2</v>
      </c>
      <c r="E1" t="str">
        <f>_xlfn.CONCAT(experimental_design!$I$8," ",_xlfn.CONCAT(differentiation_protocol!$C$2,"_",differentiation_protocol!G3))</f>
        <v>cc2-1a Day_3</v>
      </c>
      <c r="F1" t="str">
        <f>_xlfn.CONCAT(experimental_design!$I$8," ",_xlfn.CONCAT(differentiation_protocol!$C$2,"_",differentiation_protocol!H3))</f>
        <v>cc2-1a Day_4</v>
      </c>
      <c r="G1" t="str">
        <f>_xlfn.CONCAT(experimental_design!$I$8," ",_xlfn.CONCAT(differentiation_protocol!$C$2,"_",differentiation_protocol!I3))</f>
        <v>cc2-1a Day_5</v>
      </c>
      <c r="H1" t="str">
        <f>_xlfn.CONCAT(experimental_design!$I$8," ",_xlfn.CONCAT(differentiation_protocol!$C$2,"_",differentiation_protocol!J3))</f>
        <v>cc2-1a Day_6</v>
      </c>
      <c r="I1" t="str">
        <f>_xlfn.CONCAT(experimental_design!$I$8," ",_xlfn.CONCAT(differentiation_protocol!$C$2,"_",differentiation_protocol!K3))</f>
        <v>cc2-1a Day_7</v>
      </c>
      <c r="J1" t="str">
        <f>_xlfn.CONCAT(experimental_design!$I$8," ",_xlfn.CONCAT(differentiation_protocol!$C$2,"_",differentiation_protocol!L3))</f>
        <v>cc2-1a Day_8</v>
      </c>
      <c r="K1" t="str">
        <f>_xlfn.CONCAT(experimental_design!$I$8," ",_xlfn.CONCAT(differentiation_protocol!$C$2,"_",differentiation_protocol!M3))</f>
        <v>cc2-1a Day_9</v>
      </c>
      <c r="L1" t="str">
        <f>_xlfn.CONCAT(experimental_design!$I$8," ",_xlfn.CONCAT(differentiation_protocol!$C$2,"_",differentiation_protocol!N3))</f>
        <v>cc2-1a Day_10</v>
      </c>
      <c r="M1" t="str">
        <f>_xlfn.CONCAT(experimental_design!$I$8," ",_xlfn.CONCAT(differentiation_protocol!$C$2,"_",differentiation_protocol!O3))</f>
        <v>cc2-1a Day_11</v>
      </c>
      <c r="N1" t="str">
        <f>_xlfn.CONCAT(experimental_design!$I$8," ",_xlfn.CONCAT(differentiation_protocol!$C$2,"_",differentiation_protocol!P3))</f>
        <v>cc2-1a Day_12</v>
      </c>
      <c r="O1" t="str">
        <f>_xlfn.CONCAT(experimental_design!$I$8," ",_xlfn.CONCAT(differentiation_protocol!$C$2,"_",differentiation_protocol!Q3))</f>
        <v>cc2-1a Day_13</v>
      </c>
      <c r="P1" t="str">
        <f>_xlfn.CONCAT(experimental_design!$I$8," ",_xlfn.CONCAT(differentiation_protocol!$C$2,"_",differentiation_protocol!R3))</f>
        <v>cc2-1a Day_14</v>
      </c>
      <c r="Q1" t="str">
        <f>_xlfn.CONCAT(experimental_design!$I$8," ",_xlfn.CONCAT(differentiation_protocol!$C$2,"_",differentiation_protocol!S3))</f>
        <v>cc2-1a Day_15</v>
      </c>
      <c r="R1" t="str">
        <f>_xlfn.CONCAT(experimental_design!$I$8," ",_xlfn.CONCAT(differentiation_protocol!$C$2,"_",differentiation_protocol!T3))</f>
        <v>cc2-1a Day_16</v>
      </c>
      <c r="S1" t="str">
        <f>_xlfn.CONCAT(experimental_design!$I$8," ",_xlfn.CONCAT(differentiation_protocol!$C$2,"_",differentiation_protocol!U3))</f>
        <v>cc2-1a Day_17</v>
      </c>
      <c r="T1" t="str">
        <f>_xlfn.CONCAT(experimental_design!$I$8," ",_xlfn.CONCAT(differentiation_protocol!$C$2,"_",differentiation_protocol!V3))</f>
        <v>cc2-1a Day_18</v>
      </c>
      <c r="U1" t="str">
        <f>_xlfn.CONCAT(experimental_design!$I$8," ",_xlfn.CONCAT(differentiation_protocol!$C$2,"_",differentiation_protocol!W3))</f>
        <v>cc2-1a Day_19</v>
      </c>
      <c r="V1" t="str">
        <f>_xlfn.CONCAT(experimental_design!$I$8," ",_xlfn.CONCAT(differentiation_protocol!$C$2,"_",differentiation_protocol!X3))</f>
        <v>cc2-1a Day_20</v>
      </c>
      <c r="W1" t="str">
        <f>_xlfn.CONCAT(experimental_design!$I$8," ",_xlfn.CONCAT(differentiation_protocol!$C$2,"_",differentiation_protocol!Y3))</f>
        <v>cc2-1a Day_21</v>
      </c>
      <c r="X1" t="str">
        <f>_xlfn.CONCAT(experimental_design!$I$8," ",_xlfn.CONCAT(differentiation_protocol!$C$2,"_",differentiation_protocol!Z3))</f>
        <v>cc2-1a Day_22</v>
      </c>
      <c r="Y1" t="str">
        <f>_xlfn.CONCAT(experimental_design!$I$8," ",_xlfn.CONCAT(differentiation_protocol!$C$2,"_",differentiation_protocol!AA3))</f>
        <v>cc2-1a Day_23</v>
      </c>
      <c r="Z1" t="str">
        <f>_xlfn.CONCAT(experimental_design!$I$8," ",_xlfn.CONCAT(differentiation_protocol!$C$2,"_",differentiation_protocol!AB3))</f>
        <v>cc2-1a Day_24</v>
      </c>
      <c r="AA1" t="str">
        <f>_xlfn.CONCAT(experimental_design!$I$8," ",_xlfn.CONCAT(differentiation_protocol!$C$2,"_",differentiation_protocol!AC3))</f>
        <v>cc2-1a Day_25</v>
      </c>
      <c r="AB1" t="str">
        <f>_xlfn.CONCAT(experimental_design!$I$8," ",_xlfn.CONCAT(differentiation_protocol!$C$2,"_",differentiation_protocol!AD3))</f>
        <v>cc2-1a Day_26</v>
      </c>
      <c r="AC1" t="str">
        <f>_xlfn.CONCAT(experimental_design!$I$8," ",_xlfn.CONCAT(differentiation_protocol!$C$2,"_",differentiation_protocol!AE3))</f>
        <v>cc2-1a Day_27</v>
      </c>
      <c r="AD1" t="str">
        <f>_xlfn.CONCAT(experimental_design!$I$8," ",_xlfn.CONCAT(differentiation_protocol!$C$2,"_",differentiation_protocol!AF3))</f>
        <v>cc2-1a Day_28</v>
      </c>
      <c r="AE1" t="str">
        <f>_xlfn.CONCAT(experimental_design!$I$8," ",_xlfn.CONCAT(differentiation_protocol!$C$2,"_",differentiation_protocol!AG3))</f>
        <v>cc2-1a Day_29</v>
      </c>
      <c r="AF1" t="str">
        <f>_xlfn.CONCAT(experimental_design!$I$8," ",_xlfn.CONCAT(differentiation_protocol!$C$2,"_",differentiation_protocol!AH3))</f>
        <v>cc2-1a Day_30</v>
      </c>
    </row>
    <row r="2" spans="1:41" x14ac:dyDescent="0.2">
      <c r="A2" s="19">
        <f>differentiation_protocol!C6</f>
        <v>43836</v>
      </c>
      <c r="B2" s="19">
        <f>differentiation_protocol!D6</f>
        <v>43838</v>
      </c>
      <c r="C2" s="19">
        <f>differentiation_protocol!E6</f>
        <v>43839</v>
      </c>
      <c r="D2" s="19">
        <f>differentiation_protocol!F6</f>
        <v>43840</v>
      </c>
      <c r="E2" s="19">
        <f>differentiation_protocol!G6</f>
        <v>43841</v>
      </c>
      <c r="F2" s="19">
        <f>differentiation_protocol!H6</f>
        <v>43842</v>
      </c>
      <c r="G2" s="19">
        <f>differentiation_protocol!I6</f>
        <v>43843</v>
      </c>
      <c r="H2" s="19">
        <f>differentiation_protocol!J6</f>
        <v>43844</v>
      </c>
      <c r="I2" s="19">
        <f>differentiation_protocol!K6</f>
        <v>43845</v>
      </c>
      <c r="J2" s="19">
        <f>differentiation_protocol!L6</f>
        <v>43846</v>
      </c>
      <c r="K2" s="19">
        <f>differentiation_protocol!M6</f>
        <v>43847</v>
      </c>
      <c r="L2" s="19">
        <f>differentiation_protocol!N6</f>
        <v>43848</v>
      </c>
      <c r="M2" s="19">
        <f>differentiation_protocol!O6</f>
        <v>43849</v>
      </c>
      <c r="N2" s="19">
        <f>differentiation_protocol!P6</f>
        <v>43850</v>
      </c>
      <c r="O2" s="19">
        <f>differentiation_protocol!Q6</f>
        <v>43851</v>
      </c>
      <c r="P2" s="19">
        <f>differentiation_protocol!R6</f>
        <v>43852</v>
      </c>
      <c r="Q2" s="19">
        <f>differentiation_protocol!S6</f>
        <v>43853</v>
      </c>
      <c r="R2" s="19">
        <f>differentiation_protocol!T6</f>
        <v>43854</v>
      </c>
      <c r="S2" s="19">
        <f>differentiation_protocol!U6</f>
        <v>43855</v>
      </c>
      <c r="T2" s="19">
        <f>differentiation_protocol!V6</f>
        <v>43856</v>
      </c>
      <c r="U2" s="19">
        <f>differentiation_protocol!W6</f>
        <v>43857</v>
      </c>
      <c r="V2" s="19">
        <f>differentiation_protocol!X6</f>
        <v>43858</v>
      </c>
      <c r="W2" s="19">
        <f>differentiation_protocol!Y6</f>
        <v>43859</v>
      </c>
      <c r="X2" s="19">
        <f>differentiation_protocol!Z6</f>
        <v>43860</v>
      </c>
      <c r="Y2" s="19">
        <f>differentiation_protocol!AA6</f>
        <v>43861</v>
      </c>
      <c r="Z2" s="19">
        <f>differentiation_protocol!AB6</f>
        <v>43862</v>
      </c>
      <c r="AA2" s="19">
        <f>differentiation_protocol!AC6</f>
        <v>43863</v>
      </c>
      <c r="AB2" s="19">
        <f>differentiation_protocol!AD6</f>
        <v>43864</v>
      </c>
      <c r="AC2" s="19">
        <f>differentiation_protocol!AE6</f>
        <v>43865</v>
      </c>
      <c r="AD2" s="19">
        <f>differentiation_protocol!AF6</f>
        <v>43866</v>
      </c>
      <c r="AE2" s="19">
        <f>differentiation_protocol!AG6</f>
        <v>43867</v>
      </c>
      <c r="AF2" s="19">
        <f>differentiation_protocol!AH6</f>
        <v>43868</v>
      </c>
      <c r="AG2" s="19"/>
      <c r="AH2" s="19"/>
      <c r="AI2" s="19"/>
      <c r="AJ2" s="19"/>
      <c r="AK2" s="19"/>
      <c r="AL2" s="19"/>
      <c r="AM2" s="19"/>
      <c r="AN2" s="19"/>
      <c r="AO2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experimental_design</vt:lpstr>
      <vt:lpstr>differentiation_protocol</vt:lpstr>
      <vt:lpstr>.calendar</vt:lpstr>
      <vt:lpstr>aid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2020-01-04T19:49:18Z</cp:lastPrinted>
  <dcterms:created xsi:type="dcterms:W3CDTF">2019-12-26T18:08:41Z</dcterms:created>
  <dcterms:modified xsi:type="dcterms:W3CDTF">2020-10-10T15:30:17Z</dcterms:modified>
</cp:coreProperties>
</file>