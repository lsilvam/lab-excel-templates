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807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d64bc85c2b0846e/One Note/Custom Office Templates/"/>
    </mc:Choice>
  </mc:AlternateContent>
  <xr:revisionPtr revIDLastSave="0" documentId="13_ncr:3_{8D2E40AB-12C8-4BB7-82BE-1F9AC86A9D9B}" xr6:coauthVersionLast="43" xr6:coauthVersionMax="43" xr10:uidLastSave="{00000000-0000-0000-0000-000000000000}"/>
  <bookViews>
    <workbookView xWindow="-120" yWindow="-120" windowWidth="29040" windowHeight="15840" activeTab="1" xr2:uid="{FED2785F-B3EE-4129-86BD-C884394F67CC}"/>
  </bookViews>
  <sheets>
    <sheet name="raw_data" sheetId="5" r:id="rId1"/>
    <sheet name="bradford" sheetId="2" r:id="rId2"/>
    <sheet name="protocol" sheetId="4" r:id="rId3"/>
    <sheet name="drafts" sheetId="1" state="hidden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3" i="2" l="1"/>
  <c r="H3" i="2"/>
  <c r="F3" i="2"/>
  <c r="B38" i="2"/>
  <c r="B39" i="2"/>
  <c r="B40" i="2"/>
  <c r="B41" i="2"/>
  <c r="B42" i="2"/>
  <c r="B43" i="2"/>
  <c r="B37" i="2"/>
  <c r="B11" i="2"/>
  <c r="B4" i="2"/>
  <c r="B5" i="2"/>
  <c r="B6" i="2"/>
  <c r="B7" i="2"/>
  <c r="B8" i="2"/>
  <c r="B9" i="2"/>
  <c r="B3" i="2"/>
  <c r="B45" i="2"/>
  <c r="C43" i="2" l="1"/>
  <c r="C37" i="2"/>
  <c r="B49" i="2" s="1"/>
  <c r="C38" i="2"/>
  <c r="C39" i="2"/>
  <c r="C40" i="2"/>
  <c r="C41" i="2"/>
  <c r="C42" i="2"/>
  <c r="B48" i="2"/>
  <c r="B50" i="2"/>
  <c r="C9" i="2"/>
  <c r="C3" i="2"/>
  <c r="I4" i="2" l="1"/>
  <c r="L19" i="2"/>
  <c r="H22" i="2" l="1"/>
  <c r="G22" i="2"/>
  <c r="H21" i="2"/>
  <c r="G21" i="2"/>
  <c r="I3" i="2" l="1"/>
  <c r="O3" i="1" l="1"/>
  <c r="P3" i="1"/>
  <c r="O4" i="1"/>
  <c r="P4" i="1"/>
  <c r="O5" i="1"/>
  <c r="P5" i="1"/>
  <c r="O6" i="1"/>
  <c r="P6" i="1"/>
  <c r="O7" i="1"/>
  <c r="P7" i="1"/>
  <c r="O8" i="1"/>
  <c r="P8" i="1"/>
  <c r="O9" i="1"/>
  <c r="P9" i="1"/>
  <c r="C8" i="2" l="1"/>
  <c r="C4" i="2" l="1"/>
  <c r="C5" i="2"/>
  <c r="C6" i="2"/>
  <c r="C7" i="2"/>
  <c r="B14" i="2" l="1"/>
  <c r="B16" i="2"/>
  <c r="B15" i="2"/>
  <c r="J3" i="2" l="1"/>
  <c r="L3" i="2" s="1"/>
  <c r="F21" i="2" s="1"/>
  <c r="I21" i="2" s="1"/>
  <c r="J4" i="2"/>
  <c r="L4" i="2" s="1"/>
  <c r="F22" i="2" s="1"/>
  <c r="I22" i="2" s="1"/>
  <c r="D4" i="1"/>
  <c r="E4" i="1"/>
  <c r="F4" i="1"/>
  <c r="G4" i="1"/>
  <c r="H4" i="1"/>
  <c r="C4" i="1"/>
  <c r="B4" i="1"/>
</calcChain>
</file>

<file path=xl/sharedStrings.xml><?xml version="1.0" encoding="utf-8"?>
<sst xmlns="http://schemas.openxmlformats.org/spreadsheetml/2006/main" count="51" uniqueCount="43">
  <si>
    <t>BSA</t>
  </si>
  <si>
    <t>H2O</t>
  </si>
  <si>
    <t>final vol</t>
  </si>
  <si>
    <t>calibration curve</t>
  </si>
  <si>
    <t>Math Sample Concentration</t>
  </si>
  <si>
    <t>Math for Western</t>
  </si>
  <si>
    <t>concentration (ug/mL)</t>
  </si>
  <si>
    <t>Abs 595 nm</t>
  </si>
  <si>
    <t>Abs 595 nm -blank</t>
  </si>
  <si>
    <t>Abs 595_1</t>
  </si>
  <si>
    <t>Abs 595_2</t>
  </si>
  <si>
    <t>y (sample)</t>
  </si>
  <si>
    <t>concetration (ug/mL)</t>
  </si>
  <si>
    <t>dilution</t>
  </si>
  <si>
    <t>sample Concentration (ug/mL)</t>
  </si>
  <si>
    <t>loading prot. (ug)</t>
  </si>
  <si>
    <t>V(sample loading) uL</t>
  </si>
  <si>
    <t>new sample here</t>
  </si>
  <si>
    <t>drag down all the next columns</t>
  </si>
  <si>
    <t>average blank</t>
  </si>
  <si>
    <t>y= mx +b</t>
  </si>
  <si>
    <t>m</t>
  </si>
  <si>
    <t>b</t>
  </si>
  <si>
    <t>R^2</t>
  </si>
  <si>
    <t>well end volume</t>
  </si>
  <si>
    <t>Abs 595_3</t>
  </si>
  <si>
    <t>preparations</t>
  </si>
  <si>
    <t>V denaturation mix (uL)</t>
  </si>
  <si>
    <t>V laemmli (uL)</t>
  </si>
  <si>
    <t>V (denaturation) uL</t>
  </si>
  <si>
    <t>V laemmli's (uL)</t>
  </si>
  <si>
    <t>V lysis buffer (ebc180)</t>
  </si>
  <si>
    <t>net calibration curve</t>
  </si>
  <si>
    <t>sample1</t>
  </si>
  <si>
    <t xml:space="preserve">sample2 </t>
  </si>
  <si>
    <t>A</t>
  </si>
  <si>
    <t>B</t>
  </si>
  <si>
    <t>C</t>
  </si>
  <si>
    <t>D</t>
  </si>
  <si>
    <t>E</t>
  </si>
  <si>
    <t>F</t>
  </si>
  <si>
    <t>G</t>
  </si>
  <si>
    <t>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</si>
</sst>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2" fillId="0" borderId="0" applyNumberFormat="0" applyFill="0" applyBorder="0" applyAlignment="0" applyProtection="0"/>
  </cellStyleXfs>
  <cellXfs count="22">
    <xf numFmtId="0" fontId="0" fillId="0" borderId="0" xfId="0"/>
    <xf numFmtId="0" fontId="0" fillId="0" borderId="0" xfId="0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5" fillId="4" borderId="0" xfId="1" applyFont="1" applyFill="1" applyAlignment="1">
      <alignment horizontal="center" vertical="center"/>
    </xf>
    <xf numFmtId="2" fontId="1" fillId="2" borderId="0" xfId="1" applyNumberFormat="1" applyAlignment="1">
      <alignment horizontal="center" vertical="center"/>
    </xf>
    <xf numFmtId="0" fontId="0" fillId="4" borderId="0" xfId="0" applyFill="1" applyAlignment="1">
      <alignment horizontal="center" vertical="center"/>
    </xf>
    <xf numFmtId="2" fontId="1" fillId="4" borderId="0" xfId="1" applyNumberFormat="1" applyFill="1" applyAlignment="1">
      <alignment horizontal="center" vertical="center"/>
    </xf>
    <xf numFmtId="0" fontId="2" fillId="0" borderId="0" xfId="2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5" borderId="0" xfId="0" applyFont="1" applyFill="1"/>
    <xf numFmtId="0" fontId="6" fillId="0" borderId="0" xfId="0" applyFont="1" applyFill="1"/>
  </cellXfs>
  <cellStyles count="3">
    <cellStyle name="Explanatory Text" xfId="2" builtinId="53"/>
    <cellStyle name="Good" xfId="1" builtinId="2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calibration curve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bradford!$B$2</c:f>
              <c:strCache>
                <c:ptCount val="1"/>
                <c:pt idx="0">
                  <c:v>Abs 595 nm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trendline>
            <c:spPr>
              <a:ln w="9525" cap="rnd">
                <a:solidFill>
                  <a:schemeClr val="accent1"/>
                </a:solidFill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8061417322834647"/>
                  <c:y val="0.266064814814814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bradford!$A$3:$A$9</c:f>
              <c:numCache>
                <c:formatCode>General</c:formatCode>
                <c:ptCount val="7"/>
                <c:pt idx="0">
                  <c:v>2000</c:v>
                </c:pt>
                <c:pt idx="1">
                  <c:v>1000</c:v>
                </c:pt>
                <c:pt idx="2">
                  <c:v>800</c:v>
                </c:pt>
                <c:pt idx="3">
                  <c:v>600</c:v>
                </c:pt>
                <c:pt idx="4">
                  <c:v>300</c:v>
                </c:pt>
                <c:pt idx="5">
                  <c:v>150</c:v>
                </c:pt>
                <c:pt idx="6">
                  <c:v>0</c:v>
                </c:pt>
              </c:numCache>
            </c:numRef>
          </c:xVal>
          <c:yVal>
            <c:numRef>
              <c:f>bradford!$C$3:$C$9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71-4F1B-A4FA-F112E96377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1699448"/>
        <c:axId val="481699776"/>
      </c:scatterChart>
      <c:valAx>
        <c:axId val="481699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BSA</a:t>
                </a:r>
                <a:r>
                  <a:rPr lang="pt-PT" baseline="0"/>
                  <a:t> concetration (ug/mL)</a:t>
                </a:r>
                <a:endParaRPr lang="pt-PT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699776"/>
        <c:crosses val="autoZero"/>
        <c:crossBetween val="midCat"/>
      </c:valAx>
      <c:valAx>
        <c:axId val="481699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Abs  595 nm (A.U.)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699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net calibration curve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bradford!$B$36</c:f>
              <c:strCache>
                <c:ptCount val="1"/>
                <c:pt idx="0">
                  <c:v>Abs 595 nm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trendline>
            <c:spPr>
              <a:ln w="9525" cap="rnd">
                <a:solidFill>
                  <a:schemeClr val="accent1"/>
                </a:solidFill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8061417322834647"/>
                  <c:y val="0.266064814814814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bradford!$A$37:$A$43</c:f>
              <c:numCache>
                <c:formatCode>General</c:formatCode>
                <c:ptCount val="7"/>
                <c:pt idx="0">
                  <c:v>2000</c:v>
                </c:pt>
                <c:pt idx="1">
                  <c:v>1000</c:v>
                </c:pt>
                <c:pt idx="2">
                  <c:v>800</c:v>
                </c:pt>
                <c:pt idx="3">
                  <c:v>600</c:v>
                </c:pt>
                <c:pt idx="4">
                  <c:v>300</c:v>
                </c:pt>
                <c:pt idx="5">
                  <c:v>150</c:v>
                </c:pt>
                <c:pt idx="6">
                  <c:v>0</c:v>
                </c:pt>
              </c:numCache>
            </c:numRef>
          </c:xVal>
          <c:yVal>
            <c:numRef>
              <c:f>bradford!$C$37:$C$43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3F0-4CCD-A1B2-DBBB44893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1699448"/>
        <c:axId val="481699776"/>
      </c:scatterChart>
      <c:valAx>
        <c:axId val="481699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BSA</a:t>
                </a:r>
                <a:r>
                  <a:rPr lang="pt-PT" baseline="0"/>
                  <a:t> concetration (ug/mL)</a:t>
                </a:r>
                <a:endParaRPr lang="pt-PT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699776"/>
        <c:crosses val="autoZero"/>
        <c:crossBetween val="midCat"/>
      </c:valAx>
      <c:valAx>
        <c:axId val="481699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Abs  595 nm (A.U.)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699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117661</xdr:colOff>
      <xdr:row>18</xdr:row>
      <xdr:rowOff>22131</xdr:rowOff>
    </xdr:from>
    <xdr:to>
      <xdr:col>3</xdr:col>
      <xdr:colOff>246529</xdr:colOff>
      <xdr:row>32</xdr:row>
      <xdr:rowOff>98331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5582365-FB81-4334-A856-AD91161D34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51</xdr:row>
      <xdr:rowOff>0</xdr:rowOff>
    </xdr:from>
    <xdr:to>
      <xdr:col>4</xdr:col>
      <xdr:colOff>0</xdr:colOff>
      <xdr:row>65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C461C28-23AC-46FC-95C0-F82D9B30EC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304800</xdr:colOff>
      <xdr:row>8</xdr:row>
      <xdr:rowOff>152400</xdr:rowOff>
    </xdr:from>
    <xdr:to>
      <xdr:col>19</xdr:col>
      <xdr:colOff>513906</xdr:colOff>
      <xdr:row>49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4029F7E-9F5D-469C-B10A-61F3431101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62400" y="1676400"/>
          <a:ext cx="8133906" cy="7772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294F6-F2E9-4639-9D0A-770F2226214D}">
  <dimension ref="A3:M15"/>
  <sheetViews>
    <sheetView workbookViewId="0">
      <selection activeCell="B14" sqref="B14"/>
    </sheetView>
  </sheetViews>
  <sheetFormatPr defaultRowHeight="15" x14ac:dyDescent="0.25"/>
  <sheetData>
    <row r="3" spans="1:13" x14ac:dyDescent="0.25">
      <c r="B3">
        <v>1</v>
      </c>
      <c r="C3">
        <v>2</v>
      </c>
      <c r="D3">
        <v>3</v>
      </c>
      <c r="E3">
        <v>4</v>
      </c>
      <c r="F3">
        <v>5</v>
      </c>
      <c r="G3">
        <v>6</v>
      </c>
      <c r="H3">
        <v>7</v>
      </c>
      <c r="I3">
        <v>8</v>
      </c>
      <c r="J3">
        <v>9</v>
      </c>
      <c r="K3">
        <v>10</v>
      </c>
      <c r="L3">
        <v>11</v>
      </c>
      <c r="M3">
        <v>12</v>
      </c>
    </row>
    <row r="4" spans="1:13" x14ac:dyDescent="0.25">
      <c r="A4" t="s">
        <v>35</v>
      </c>
      <c r="B4" s="20">
        <v>0</v>
      </c>
      <c r="C4" s="20">
        <v>0</v>
      </c>
      <c r="D4" s="20">
        <v>0</v>
      </c>
      <c r="E4" s="20">
        <v>0</v>
      </c>
      <c r="F4" s="20">
        <v>0</v>
      </c>
      <c r="G4" s="20">
        <v>0</v>
      </c>
      <c r="H4" s="20">
        <v>0</v>
      </c>
      <c r="I4" s="20">
        <v>0</v>
      </c>
      <c r="J4" s="20">
        <v>0</v>
      </c>
      <c r="K4" s="20">
        <v>0</v>
      </c>
      <c r="L4" s="20">
        <v>0</v>
      </c>
      <c r="M4" s="20">
        <v>0</v>
      </c>
    </row>
    <row r="5" spans="1:13" x14ac:dyDescent="0.25">
      <c r="A5" t="s">
        <v>36</v>
      </c>
      <c r="B5" s="20">
        <v>0</v>
      </c>
      <c r="C5" s="20">
        <v>0</v>
      </c>
      <c r="D5" s="20">
        <v>0</v>
      </c>
      <c r="E5" s="20">
        <v>0</v>
      </c>
      <c r="F5" s="20">
        <v>0</v>
      </c>
      <c r="G5" s="20">
        <v>0</v>
      </c>
      <c r="H5" s="20">
        <v>0</v>
      </c>
      <c r="I5" s="20">
        <v>0</v>
      </c>
      <c r="J5" s="20">
        <v>0</v>
      </c>
      <c r="K5" s="20">
        <v>0</v>
      </c>
      <c r="L5" s="20">
        <v>0</v>
      </c>
      <c r="M5" s="20">
        <v>0</v>
      </c>
    </row>
    <row r="6" spans="1:13" x14ac:dyDescent="0.25">
      <c r="A6" t="s">
        <v>37</v>
      </c>
      <c r="B6" s="20">
        <v>0</v>
      </c>
      <c r="C6" s="20">
        <v>0</v>
      </c>
      <c r="D6" s="20">
        <v>0</v>
      </c>
      <c r="E6" s="20">
        <v>0</v>
      </c>
      <c r="F6" s="20">
        <v>0</v>
      </c>
      <c r="G6" s="20">
        <v>0</v>
      </c>
      <c r="H6" s="20">
        <v>0</v>
      </c>
      <c r="I6" s="20">
        <v>0</v>
      </c>
      <c r="J6" s="20">
        <v>0</v>
      </c>
      <c r="K6" s="20">
        <v>0</v>
      </c>
      <c r="L6" s="20">
        <v>0</v>
      </c>
      <c r="M6" s="20">
        <v>0</v>
      </c>
    </row>
    <row r="7" spans="1:13" x14ac:dyDescent="0.25">
      <c r="A7" t="s">
        <v>38</v>
      </c>
      <c r="B7" s="20">
        <v>0</v>
      </c>
      <c r="C7" s="20">
        <v>0</v>
      </c>
      <c r="D7" s="20">
        <v>0</v>
      </c>
      <c r="E7" s="20">
        <v>0</v>
      </c>
      <c r="F7" s="20">
        <v>0</v>
      </c>
      <c r="G7" s="20">
        <v>0</v>
      </c>
      <c r="H7" s="20">
        <v>0</v>
      </c>
      <c r="I7" s="20">
        <v>0</v>
      </c>
      <c r="J7" s="20">
        <v>0</v>
      </c>
      <c r="K7" s="20">
        <v>0</v>
      </c>
      <c r="L7" s="20">
        <v>0</v>
      </c>
      <c r="M7" s="20">
        <v>0</v>
      </c>
    </row>
    <row r="8" spans="1:13" x14ac:dyDescent="0.25">
      <c r="A8" t="s">
        <v>39</v>
      </c>
      <c r="B8" s="20">
        <v>0</v>
      </c>
      <c r="C8" s="20">
        <v>0</v>
      </c>
      <c r="D8" s="20">
        <v>0</v>
      </c>
      <c r="E8" s="20">
        <v>0</v>
      </c>
      <c r="F8" s="20">
        <v>0</v>
      </c>
      <c r="G8" s="20">
        <v>0</v>
      </c>
      <c r="H8" s="20">
        <v>0</v>
      </c>
      <c r="I8" s="20">
        <v>0</v>
      </c>
      <c r="J8" s="20">
        <v>0</v>
      </c>
      <c r="K8" s="20">
        <v>0</v>
      </c>
      <c r="L8" s="20">
        <v>0</v>
      </c>
      <c r="M8" s="20">
        <v>0</v>
      </c>
    </row>
    <row r="9" spans="1:13" x14ac:dyDescent="0.25">
      <c r="A9" t="s">
        <v>40</v>
      </c>
      <c r="B9" s="20">
        <v>0</v>
      </c>
      <c r="C9" s="20">
        <v>0</v>
      </c>
      <c r="D9" s="20">
        <v>0</v>
      </c>
      <c r="E9" s="20">
        <v>0</v>
      </c>
      <c r="F9" s="20">
        <v>0</v>
      </c>
      <c r="G9" s="20">
        <v>0</v>
      </c>
      <c r="H9" s="20">
        <v>0</v>
      </c>
      <c r="I9" s="20">
        <v>0</v>
      </c>
      <c r="J9" s="20">
        <v>0</v>
      </c>
      <c r="K9" s="20">
        <v>0</v>
      </c>
      <c r="L9" s="20">
        <v>0</v>
      </c>
      <c r="M9" s="20">
        <v>0</v>
      </c>
    </row>
    <row r="10" spans="1:13" x14ac:dyDescent="0.25">
      <c r="A10" t="s">
        <v>41</v>
      </c>
      <c r="B10" s="20">
        <v>0</v>
      </c>
      <c r="C10" s="20">
        <v>0</v>
      </c>
      <c r="D10" s="20">
        <v>0</v>
      </c>
      <c r="E10" s="20">
        <v>0</v>
      </c>
      <c r="F10" s="20">
        <v>0</v>
      </c>
      <c r="G10" s="20">
        <v>0</v>
      </c>
      <c r="H10" s="20">
        <v>0</v>
      </c>
      <c r="I10" s="20">
        <v>0</v>
      </c>
      <c r="J10" s="20">
        <v>0</v>
      </c>
      <c r="K10" s="20">
        <v>0</v>
      </c>
      <c r="L10" s="20">
        <v>0</v>
      </c>
      <c r="M10" s="20">
        <v>0</v>
      </c>
    </row>
    <row r="11" spans="1:13" x14ac:dyDescent="0.25">
      <c r="A11" t="s">
        <v>42</v>
      </c>
      <c r="B11" s="20">
        <v>0</v>
      </c>
      <c r="C11" s="20">
        <v>0</v>
      </c>
      <c r="D11" s="20">
        <v>0</v>
      </c>
      <c r="E11" s="20">
        <v>0</v>
      </c>
      <c r="F11" s="20">
        <v>0</v>
      </c>
      <c r="G11" s="20">
        <v>0</v>
      </c>
      <c r="H11" s="20">
        <v>0</v>
      </c>
      <c r="I11" s="20">
        <v>0</v>
      </c>
      <c r="J11" s="20">
        <v>0</v>
      </c>
      <c r="K11" s="20">
        <v>0</v>
      </c>
      <c r="L11" s="20">
        <v>0</v>
      </c>
      <c r="M11" s="20">
        <v>0</v>
      </c>
    </row>
    <row r="12" spans="1:13" x14ac:dyDescent="0.25">
      <c r="B12" s="21"/>
      <c r="C12" s="21"/>
      <c r="D12" s="21"/>
      <c r="E12" s="21"/>
      <c r="F12" s="21"/>
      <c r="G12" s="21"/>
      <c r="H12" s="21"/>
      <c r="I12" s="21"/>
    </row>
    <row r="13" spans="1:13" x14ac:dyDescent="0.25">
      <c r="B13" s="21"/>
      <c r="C13" s="21"/>
      <c r="D13" s="21"/>
      <c r="E13" s="21"/>
      <c r="F13" s="21"/>
      <c r="G13" s="21"/>
      <c r="H13" s="21"/>
      <c r="I13" s="21"/>
    </row>
    <row r="14" spans="1:13" x14ac:dyDescent="0.25">
      <c r="B14" s="21"/>
      <c r="C14" s="21"/>
      <c r="D14" s="21"/>
      <c r="E14" s="21"/>
      <c r="F14" s="21"/>
      <c r="G14" s="21"/>
      <c r="H14" s="21"/>
      <c r="I14" s="21"/>
    </row>
    <row r="15" spans="1:13" x14ac:dyDescent="0.25">
      <c r="B15" s="21"/>
      <c r="C15" s="21"/>
      <c r="D15" s="21"/>
      <c r="E15" s="21"/>
      <c r="F15" s="21"/>
      <c r="G15" s="21"/>
      <c r="H15" s="21"/>
      <c r="I15" s="2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53A170-CDB8-4C37-A242-51FD267282BB}">
  <sheetPr>
    <tabColor rgb="FF00B050"/>
  </sheetPr>
  <dimension ref="A1:Q50"/>
  <sheetViews>
    <sheetView tabSelected="1" zoomScale="85" zoomScaleNormal="85" workbookViewId="0">
      <selection activeCell="L19" sqref="L19"/>
    </sheetView>
  </sheetViews>
  <sheetFormatPr defaultRowHeight="15" x14ac:dyDescent="0.25"/>
  <cols>
    <col min="1" max="1" width="21" style="1" bestFit="1" customWidth="1"/>
    <col min="2" max="3" width="17.28515625" style="1" bestFit="1" customWidth="1"/>
    <col min="4" max="4" width="9.140625" style="1"/>
    <col min="5" max="5" width="19.42578125" style="1" bestFit="1" customWidth="1"/>
    <col min="6" max="6" width="29.42578125" style="1" bestFit="1" customWidth="1"/>
    <col min="7" max="7" width="19.140625" style="1" bestFit="1" customWidth="1"/>
    <col min="8" max="8" width="16.140625" style="1" bestFit="1" customWidth="1"/>
    <col min="9" max="9" width="23" style="1" bestFit="1" customWidth="1"/>
    <col min="10" max="10" width="19.85546875" style="1" bestFit="1" customWidth="1"/>
    <col min="11" max="11" width="14.5703125" style="1" bestFit="1" customWidth="1"/>
    <col min="12" max="12" width="28.42578125" style="1" bestFit="1" customWidth="1"/>
    <col min="13" max="13" width="16.42578125" style="1" bestFit="1" customWidth="1"/>
    <col min="14" max="14" width="19.85546875" style="1" bestFit="1" customWidth="1"/>
    <col min="15" max="15" width="18.42578125" style="1" bestFit="1" customWidth="1"/>
    <col min="16" max="16" width="15.28515625" style="1" bestFit="1" customWidth="1"/>
    <col min="17" max="17" width="22.28515625" style="1" bestFit="1" customWidth="1"/>
    <col min="18" max="18" width="9.140625" style="1"/>
    <col min="19" max="19" width="14" style="1" bestFit="1" customWidth="1"/>
    <col min="20" max="16384" width="9.140625" style="1"/>
  </cols>
  <sheetData>
    <row r="1" spans="1:17" ht="18.75" x14ac:dyDescent="0.25">
      <c r="A1" s="16" t="s">
        <v>3</v>
      </c>
      <c r="B1" s="16"/>
      <c r="C1" s="16"/>
      <c r="E1" s="2"/>
      <c r="F1" s="17" t="s">
        <v>4</v>
      </c>
      <c r="G1" s="17"/>
      <c r="H1" s="17"/>
      <c r="I1" s="17"/>
      <c r="J1" s="17"/>
      <c r="K1" s="17"/>
      <c r="L1" s="17"/>
    </row>
    <row r="2" spans="1:17" x14ac:dyDescent="0.25">
      <c r="A2" s="3" t="s">
        <v>6</v>
      </c>
      <c r="B2" s="3" t="s">
        <v>7</v>
      </c>
      <c r="C2" s="3" t="s">
        <v>8</v>
      </c>
      <c r="E2" s="2"/>
      <c r="F2" s="4" t="s">
        <v>9</v>
      </c>
      <c r="G2" s="4" t="s">
        <v>10</v>
      </c>
      <c r="H2" s="4" t="s">
        <v>25</v>
      </c>
      <c r="I2" s="4" t="s">
        <v>11</v>
      </c>
      <c r="J2" s="4" t="s">
        <v>12</v>
      </c>
      <c r="K2" s="4" t="s">
        <v>13</v>
      </c>
      <c r="L2" s="4" t="s">
        <v>14</v>
      </c>
    </row>
    <row r="3" spans="1:17" x14ac:dyDescent="0.25">
      <c r="A3" s="1">
        <v>2000</v>
      </c>
      <c r="B3" s="1">
        <f>AVERAGE(raw_data!B4:C4)</f>
        <v>0</v>
      </c>
      <c r="C3" s="12">
        <f t="shared" ref="C3:C9" si="0">B3-$B$11</f>
        <v>0</v>
      </c>
      <c r="E3" s="4" t="s">
        <v>33</v>
      </c>
      <c r="F3" s="13">
        <f>raw_data!D4</f>
        <v>0</v>
      </c>
      <c r="G3" s="14">
        <f>raw_data!E4</f>
        <v>0</v>
      </c>
      <c r="H3" s="14">
        <f>raw_data!F4</f>
        <v>0</v>
      </c>
      <c r="I3" s="2">
        <f>AVERAGE(F3:H3)-$B$11</f>
        <v>0</v>
      </c>
      <c r="J3" s="2" t="e">
        <f>(I3-$B$15)/$B$14</f>
        <v>#DIV/0!</v>
      </c>
      <c r="K3" s="2">
        <v>10</v>
      </c>
      <c r="L3" s="7" t="e">
        <f>J3*K3</f>
        <v>#DIV/0!</v>
      </c>
    </row>
    <row r="4" spans="1:17" x14ac:dyDescent="0.25">
      <c r="A4" s="1">
        <v>1000</v>
      </c>
      <c r="B4" s="15">
        <f>AVERAGE(raw_data!B5:C5)</f>
        <v>0</v>
      </c>
      <c r="C4" s="1">
        <f t="shared" si="0"/>
        <v>0</v>
      </c>
      <c r="E4" s="4" t="s">
        <v>34</v>
      </c>
      <c r="F4" s="13"/>
      <c r="G4" s="13"/>
      <c r="H4" s="13"/>
      <c r="I4" s="2" t="e">
        <f>AVERAGE(F4:H4)-$B$11</f>
        <v>#DIV/0!</v>
      </c>
      <c r="J4" s="2" t="e">
        <f>(I4-$B$15)/$B$14</f>
        <v>#DIV/0!</v>
      </c>
      <c r="K4" s="2">
        <v>10</v>
      </c>
      <c r="L4" s="7" t="e">
        <f>J4*K4</f>
        <v>#DIV/0!</v>
      </c>
    </row>
    <row r="5" spans="1:17" x14ac:dyDescent="0.25">
      <c r="A5" s="1">
        <v>800</v>
      </c>
      <c r="B5" s="15">
        <f>AVERAGE(raw_data!B6:C6)</f>
        <v>0</v>
      </c>
      <c r="C5" s="1">
        <f t="shared" si="0"/>
        <v>0</v>
      </c>
      <c r="G5"/>
      <c r="H5"/>
      <c r="I5"/>
      <c r="J5"/>
      <c r="K5"/>
      <c r="L5"/>
      <c r="M5"/>
      <c r="N5"/>
      <c r="O5" s="12"/>
      <c r="P5" s="12"/>
      <c r="Q5" s="11"/>
    </row>
    <row r="6" spans="1:17" x14ac:dyDescent="0.25">
      <c r="A6" s="1">
        <v>600</v>
      </c>
      <c r="B6" s="15">
        <f>AVERAGE(raw_data!B7:C7)</f>
        <v>0</v>
      </c>
      <c r="C6" s="1">
        <f t="shared" si="0"/>
        <v>0</v>
      </c>
      <c r="E6" s="10" t="s">
        <v>17</v>
      </c>
      <c r="F6" s="10" t="s">
        <v>18</v>
      </c>
      <c r="G6"/>
      <c r="H6"/>
      <c r="I6"/>
      <c r="J6"/>
      <c r="K6"/>
      <c r="L6"/>
      <c r="M6"/>
      <c r="N6"/>
      <c r="O6" s="12"/>
      <c r="P6" s="12"/>
      <c r="Q6" s="11"/>
    </row>
    <row r="7" spans="1:17" x14ac:dyDescent="0.25">
      <c r="A7" s="1">
        <v>300</v>
      </c>
      <c r="B7" s="15">
        <f>AVERAGE(raw_data!B8:C8)</f>
        <v>0</v>
      </c>
      <c r="C7" s="1">
        <f t="shared" si="0"/>
        <v>0</v>
      </c>
      <c r="F7"/>
      <c r="G7"/>
      <c r="H7"/>
      <c r="I7"/>
      <c r="J7"/>
      <c r="K7"/>
      <c r="L7"/>
      <c r="M7"/>
      <c r="N7"/>
      <c r="O7" s="12"/>
      <c r="P7" s="12"/>
      <c r="Q7" s="11"/>
    </row>
    <row r="8" spans="1:17" x14ac:dyDescent="0.25">
      <c r="A8" s="1">
        <v>150</v>
      </c>
      <c r="B8" s="15">
        <f>AVERAGE(raw_data!B9:C9)</f>
        <v>0</v>
      </c>
      <c r="C8" s="1">
        <f t="shared" si="0"/>
        <v>0</v>
      </c>
      <c r="F8"/>
      <c r="G8"/>
      <c r="H8"/>
      <c r="I8"/>
      <c r="J8"/>
      <c r="K8"/>
      <c r="L8"/>
      <c r="M8"/>
      <c r="N8"/>
      <c r="O8" s="12"/>
      <c r="P8" s="12"/>
      <c r="Q8" s="11"/>
    </row>
    <row r="9" spans="1:17" x14ac:dyDescent="0.25">
      <c r="A9" s="1">
        <v>0</v>
      </c>
      <c r="B9" s="15">
        <f>AVERAGE(raw_data!B10:C10)</f>
        <v>0</v>
      </c>
      <c r="C9" s="12">
        <f t="shared" si="0"/>
        <v>0</v>
      </c>
      <c r="F9"/>
      <c r="G9"/>
      <c r="H9"/>
      <c r="I9"/>
      <c r="J9"/>
      <c r="K9"/>
      <c r="L9"/>
      <c r="M9"/>
      <c r="N9"/>
      <c r="O9" s="12"/>
      <c r="P9" s="12"/>
      <c r="Q9" s="11"/>
    </row>
    <row r="10" spans="1:17" x14ac:dyDescent="0.25">
      <c r="F10"/>
      <c r="G10"/>
      <c r="H10"/>
      <c r="I10"/>
      <c r="J10"/>
      <c r="K10"/>
      <c r="L10"/>
      <c r="M10"/>
      <c r="N10"/>
      <c r="O10" s="12"/>
      <c r="P10" s="12"/>
      <c r="Q10" s="11"/>
    </row>
    <row r="11" spans="1:17" x14ac:dyDescent="0.25">
      <c r="A11" s="1" t="s">
        <v>19</v>
      </c>
      <c r="B11" s="1">
        <f>AVERAGE(raw_data!B11:C11)</f>
        <v>0</v>
      </c>
      <c r="I11"/>
      <c r="J11"/>
      <c r="K11"/>
      <c r="L11"/>
      <c r="M11"/>
      <c r="N11"/>
    </row>
    <row r="13" spans="1:17" x14ac:dyDescent="0.25">
      <c r="A13" s="19" t="s">
        <v>20</v>
      </c>
      <c r="B13" s="19"/>
    </row>
    <row r="14" spans="1:17" x14ac:dyDescent="0.25">
      <c r="A14" s="1" t="s">
        <v>21</v>
      </c>
      <c r="B14" s="1">
        <f>SLOPE(C3:C9,A3:A9)</f>
        <v>0</v>
      </c>
    </row>
    <row r="15" spans="1:17" x14ac:dyDescent="0.25">
      <c r="A15" s="1" t="s">
        <v>22</v>
      </c>
      <c r="B15" s="1">
        <f>INTERCEPT(C3:C9,A3:A9)</f>
        <v>0</v>
      </c>
    </row>
    <row r="16" spans="1:17" x14ac:dyDescent="0.25">
      <c r="A16" s="1" t="s">
        <v>23</v>
      </c>
      <c r="B16" s="1" t="e">
        <f>PEARSON(A3:A9,C3:C9)^2</f>
        <v>#DIV/0!</v>
      </c>
    </row>
    <row r="19" spans="5:12" x14ac:dyDescent="0.25">
      <c r="E19" s="18" t="s">
        <v>5</v>
      </c>
      <c r="F19" s="18"/>
      <c r="G19" s="1" t="s">
        <v>26</v>
      </c>
      <c r="H19" s="1">
        <v>1</v>
      </c>
      <c r="I19" s="1" t="s">
        <v>27</v>
      </c>
      <c r="J19" s="1">
        <v>15</v>
      </c>
      <c r="K19" s="1" t="s">
        <v>28</v>
      </c>
      <c r="L19" s="1">
        <f>J19*1/4</f>
        <v>3.75</v>
      </c>
    </row>
    <row r="20" spans="5:12" x14ac:dyDescent="0.25">
      <c r="E20" s="5" t="s">
        <v>15</v>
      </c>
      <c r="F20" s="6" t="s">
        <v>16</v>
      </c>
      <c r="G20" s="1" t="s">
        <v>29</v>
      </c>
      <c r="H20" s="1" t="s">
        <v>30</v>
      </c>
      <c r="I20" s="1" t="s">
        <v>31</v>
      </c>
    </row>
    <row r="21" spans="5:12" x14ac:dyDescent="0.25">
      <c r="E21" s="8">
        <v>15</v>
      </c>
      <c r="F21" s="9" t="e">
        <f>E21/L3*1000</f>
        <v>#DIV/0!</v>
      </c>
      <c r="G21" s="1">
        <f>$H$19*$J$19</f>
        <v>15</v>
      </c>
      <c r="H21" s="1">
        <f>$H$19*$L$19</f>
        <v>3.75</v>
      </c>
      <c r="I21" s="11" t="e">
        <f>G21-H21-F21</f>
        <v>#DIV/0!</v>
      </c>
    </row>
    <row r="22" spans="5:12" x14ac:dyDescent="0.25">
      <c r="E22" s="8">
        <v>15</v>
      </c>
      <c r="F22" s="9" t="e">
        <f>E22/L4*1000</f>
        <v>#DIV/0!</v>
      </c>
      <c r="G22" s="1">
        <f>$H$19*$J$19</f>
        <v>15</v>
      </c>
      <c r="H22" s="1">
        <f>$H$19*$L$19</f>
        <v>3.75</v>
      </c>
      <c r="I22" s="11" t="e">
        <f t="shared" ref="I22" si="1">G22-H22-F22</f>
        <v>#DIV/0!</v>
      </c>
    </row>
    <row r="35" spans="1:3" ht="18.75" x14ac:dyDescent="0.25">
      <c r="A35" s="16" t="s">
        <v>32</v>
      </c>
      <c r="B35" s="16"/>
      <c r="C35" s="16"/>
    </row>
    <row r="36" spans="1:3" x14ac:dyDescent="0.25">
      <c r="A36" s="3" t="s">
        <v>6</v>
      </c>
      <c r="B36" s="3" t="s">
        <v>7</v>
      </c>
      <c r="C36" s="3" t="s">
        <v>8</v>
      </c>
    </row>
    <row r="37" spans="1:3" x14ac:dyDescent="0.25">
      <c r="A37" s="15">
        <v>2000</v>
      </c>
      <c r="B37" s="15">
        <f>AVERAGE(raw_data!B4:C4)</f>
        <v>0</v>
      </c>
      <c r="C37" s="15">
        <f t="shared" ref="C37:C43" si="2">B37-$B$11</f>
        <v>0</v>
      </c>
    </row>
    <row r="38" spans="1:3" x14ac:dyDescent="0.25">
      <c r="A38" s="15">
        <v>1000</v>
      </c>
      <c r="B38" s="15">
        <f>AVERAGE(raw_data!B5:C5)</f>
        <v>0</v>
      </c>
      <c r="C38" s="15">
        <f t="shared" si="2"/>
        <v>0</v>
      </c>
    </row>
    <row r="39" spans="1:3" x14ac:dyDescent="0.25">
      <c r="A39" s="15">
        <v>800</v>
      </c>
      <c r="B39" s="15">
        <f>AVERAGE(raw_data!B6:C6)</f>
        <v>0</v>
      </c>
      <c r="C39" s="15">
        <f t="shared" si="2"/>
        <v>0</v>
      </c>
    </row>
    <row r="40" spans="1:3" x14ac:dyDescent="0.25">
      <c r="A40" s="15">
        <v>600</v>
      </c>
      <c r="B40" s="15">
        <f>AVERAGE(raw_data!B7:C7)</f>
        <v>0</v>
      </c>
      <c r="C40" s="15">
        <f t="shared" si="2"/>
        <v>0</v>
      </c>
    </row>
    <row r="41" spans="1:3" x14ac:dyDescent="0.25">
      <c r="A41" s="15">
        <v>300</v>
      </c>
      <c r="B41" s="15">
        <f>AVERAGE(raw_data!B8:C8)</f>
        <v>0</v>
      </c>
      <c r="C41" s="15">
        <f t="shared" si="2"/>
        <v>0</v>
      </c>
    </row>
    <row r="42" spans="1:3" x14ac:dyDescent="0.25">
      <c r="A42" s="15">
        <v>150</v>
      </c>
      <c r="B42" s="15">
        <f>AVERAGE(raw_data!B9:C9)</f>
        <v>0</v>
      </c>
      <c r="C42" s="15">
        <f t="shared" si="2"/>
        <v>0</v>
      </c>
    </row>
    <row r="43" spans="1:3" x14ac:dyDescent="0.25">
      <c r="A43" s="15">
        <v>0</v>
      </c>
      <c r="B43" s="15">
        <f>AVERAGE(raw_data!B10:C10)</f>
        <v>0</v>
      </c>
      <c r="C43" s="15">
        <f t="shared" si="2"/>
        <v>0</v>
      </c>
    </row>
    <row r="44" spans="1:3" x14ac:dyDescent="0.25">
      <c r="A44" s="15"/>
      <c r="B44" s="15"/>
      <c r="C44" s="15"/>
    </row>
    <row r="45" spans="1:3" x14ac:dyDescent="0.25">
      <c r="A45" s="15" t="s">
        <v>19</v>
      </c>
      <c r="B45" s="15">
        <f>B43</f>
        <v>0</v>
      </c>
      <c r="C45" s="15"/>
    </row>
    <row r="46" spans="1:3" x14ac:dyDescent="0.25">
      <c r="A46" s="15"/>
      <c r="B46" s="15"/>
      <c r="C46" s="15"/>
    </row>
    <row r="47" spans="1:3" x14ac:dyDescent="0.25">
      <c r="A47" s="19" t="s">
        <v>20</v>
      </c>
      <c r="B47" s="19"/>
      <c r="C47" s="15"/>
    </row>
    <row r="48" spans="1:3" x14ac:dyDescent="0.25">
      <c r="A48" s="15" t="s">
        <v>21</v>
      </c>
      <c r="B48" s="15">
        <f>SLOPE(C37:C43,A37:A43)</f>
        <v>0</v>
      </c>
      <c r="C48" s="15"/>
    </row>
    <row r="49" spans="1:3" x14ac:dyDescent="0.25">
      <c r="A49" s="15" t="s">
        <v>22</v>
      </c>
      <c r="B49" s="15">
        <f>INTERCEPT(C37:C43,A37:A43)</f>
        <v>0</v>
      </c>
      <c r="C49" s="15"/>
    </row>
    <row r="50" spans="1:3" x14ac:dyDescent="0.25">
      <c r="A50" s="15" t="s">
        <v>23</v>
      </c>
      <c r="B50" s="15" t="e">
        <f>PEARSON(A37:A43,C37:C43)^2</f>
        <v>#DIV/0!</v>
      </c>
      <c r="C50" s="15"/>
    </row>
  </sheetData>
  <mergeCells count="6">
    <mergeCell ref="A47:B47"/>
    <mergeCell ref="A1:C1"/>
    <mergeCell ref="F1:L1"/>
    <mergeCell ref="E19:F19"/>
    <mergeCell ref="A13:B13"/>
    <mergeCell ref="A35:C35"/>
  </mergeCells>
  <pageMargins left="0.7" right="0.7" top="0.75" bottom="0.75" header="0.3" footer="0.3"/>
  <pageSetup paperSize="9" orientation="portrait" horizontalDpi="4294967294" verticalDpi="4294967294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DBEEA5-7C63-41E6-8B69-CC8FDBAE9ACB}">
  <sheetPr>
    <tabColor rgb="FF0070C0"/>
  </sheetPr>
  <dimension ref="A1"/>
  <sheetViews>
    <sheetView topLeftCell="A5" zoomScale="70" zoomScaleNormal="70" workbookViewId="0">
      <selection activeCell="G51" sqref="G51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FAEA4-3906-4B1F-B2B6-47717937CB33}">
  <sheetPr>
    <tabColor theme="0" tint="-0.499984740745262"/>
  </sheetPr>
  <dimension ref="A2:P9"/>
  <sheetViews>
    <sheetView workbookViewId="0">
      <selection activeCell="J14" sqref="J14"/>
    </sheetView>
  </sheetViews>
  <sheetFormatPr defaultRowHeight="15" x14ac:dyDescent="0.25"/>
  <sheetData>
    <row r="2" spans="1:16" x14ac:dyDescent="0.25">
      <c r="A2" t="s">
        <v>0</v>
      </c>
      <c r="B2">
        <v>60</v>
      </c>
      <c r="C2">
        <v>40</v>
      </c>
      <c r="D2">
        <v>64</v>
      </c>
      <c r="E2">
        <v>60</v>
      </c>
      <c r="F2">
        <v>40</v>
      </c>
      <c r="G2">
        <v>40</v>
      </c>
      <c r="H2">
        <v>0</v>
      </c>
      <c r="P2" t="s">
        <v>24</v>
      </c>
    </row>
    <row r="3" spans="1:16" x14ac:dyDescent="0.25">
      <c r="A3" t="s">
        <v>1</v>
      </c>
      <c r="B3">
        <v>0</v>
      </c>
      <c r="C3">
        <v>40</v>
      </c>
      <c r="D3">
        <v>16</v>
      </c>
      <c r="E3">
        <v>20</v>
      </c>
      <c r="F3">
        <v>40</v>
      </c>
      <c r="G3">
        <v>40</v>
      </c>
      <c r="H3">
        <v>40</v>
      </c>
      <c r="L3">
        <v>2000</v>
      </c>
      <c r="M3">
        <v>60</v>
      </c>
      <c r="O3">
        <f>L3*M3/M3</f>
        <v>2000</v>
      </c>
      <c r="P3">
        <f>M3-M4</f>
        <v>20</v>
      </c>
    </row>
    <row r="4" spans="1:16" x14ac:dyDescent="0.25">
      <c r="A4" t="s">
        <v>2</v>
      </c>
      <c r="B4">
        <f>B2-C2+B3</f>
        <v>20</v>
      </c>
      <c r="C4">
        <f>C2-D2+C3</f>
        <v>16</v>
      </c>
      <c r="D4">
        <f t="shared" ref="D4:H4" si="0">D2-E2+D3</f>
        <v>20</v>
      </c>
      <c r="E4">
        <f t="shared" si="0"/>
        <v>40</v>
      </c>
      <c r="F4">
        <f t="shared" si="0"/>
        <v>40</v>
      </c>
      <c r="G4">
        <f t="shared" si="0"/>
        <v>80</v>
      </c>
      <c r="H4">
        <f t="shared" si="0"/>
        <v>40</v>
      </c>
      <c r="L4">
        <v>1000</v>
      </c>
      <c r="M4">
        <v>40</v>
      </c>
      <c r="N4">
        <v>40</v>
      </c>
      <c r="O4">
        <f t="shared" ref="O4:O9" si="1">L3*M4/(M4+N4)</f>
        <v>1000</v>
      </c>
      <c r="P4">
        <f t="shared" ref="P4:P9" si="2">SUM(M4:N4)-M5</f>
        <v>16</v>
      </c>
    </row>
    <row r="5" spans="1:16" x14ac:dyDescent="0.25">
      <c r="L5">
        <v>800</v>
      </c>
      <c r="M5">
        <v>64</v>
      </c>
      <c r="N5">
        <v>16</v>
      </c>
      <c r="O5">
        <f t="shared" si="1"/>
        <v>800</v>
      </c>
      <c r="P5">
        <f t="shared" si="2"/>
        <v>20</v>
      </c>
    </row>
    <row r="6" spans="1:16" x14ac:dyDescent="0.25">
      <c r="L6">
        <v>600</v>
      </c>
      <c r="M6">
        <v>60</v>
      </c>
      <c r="N6">
        <v>20</v>
      </c>
      <c r="O6">
        <f t="shared" si="1"/>
        <v>600</v>
      </c>
      <c r="P6">
        <f t="shared" si="2"/>
        <v>40</v>
      </c>
    </row>
    <row r="7" spans="1:16" x14ac:dyDescent="0.25">
      <c r="L7">
        <v>300</v>
      </c>
      <c r="M7">
        <v>40</v>
      </c>
      <c r="N7">
        <v>40</v>
      </c>
      <c r="O7">
        <f t="shared" si="1"/>
        <v>300</v>
      </c>
      <c r="P7">
        <f t="shared" si="2"/>
        <v>40</v>
      </c>
    </row>
    <row r="8" spans="1:16" x14ac:dyDescent="0.25">
      <c r="L8">
        <v>150</v>
      </c>
      <c r="M8">
        <v>40</v>
      </c>
      <c r="N8">
        <v>40</v>
      </c>
      <c r="O8">
        <f t="shared" si="1"/>
        <v>150</v>
      </c>
      <c r="P8">
        <f t="shared" si="2"/>
        <v>80</v>
      </c>
    </row>
    <row r="9" spans="1:16" x14ac:dyDescent="0.25">
      <c r="L9">
        <v>0</v>
      </c>
      <c r="M9">
        <v>0</v>
      </c>
      <c r="N9">
        <v>40</v>
      </c>
      <c r="O9">
        <f t="shared" si="1"/>
        <v>0</v>
      </c>
      <c r="P9">
        <f t="shared" si="2"/>
        <v>40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raw_data</vt:lpstr>
      <vt:lpstr>bradford</vt:lpstr>
      <vt:lpstr>protocol</vt:lpstr>
      <vt:lpstr>drafts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Leonardo Silva</dc:creator>
  <cp:lastModifiedBy>Leonardo Mendes-Silva</cp:lastModifiedBy>
  <dcterms:created xsi:type="dcterms:W3CDTF">2018-10-25T10:24:53Z</dcterms:created>
  <dcterms:modified xsi:type="dcterms:W3CDTF">2019-06-17T21:22:42Z</dcterms:modified>
</cp:coreProperties>
</file>