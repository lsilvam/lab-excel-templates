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PhD\05laboratory\00protocols\_excel_templates\"/>
    </mc:Choice>
  </mc:AlternateContent>
  <xr:revisionPtr revIDLastSave="0" documentId="8_{FEDA1258-6CF2-472B-BE88-C749DACBEDD4}" xr6:coauthVersionLast="45" xr6:coauthVersionMax="45" xr10:uidLastSave="{00000000-0000-0000-0000-000000000000}"/>
  <bookViews>
    <workbookView xWindow="4785" yWindow="1275" windowWidth="21600" windowHeight="13965" firstSheet="1" activeTab="1" xr2:uid="{8D8046F8-7FB5-46C7-AA59-D7C1B291FCF6}"/>
  </bookViews>
  <sheets>
    <sheet name="percentage input" sheetId="1" state="hidden" r:id="rId1"/>
    <sheet name="ChIP-qPCR analysis" sheetId="2" r:id="rId2"/>
    <sheet name="ChIP-qPCR analysis_realworl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2" l="1"/>
  <c r="G11" i="2"/>
  <c r="F11" i="2"/>
  <c r="F19" i="3"/>
  <c r="G19" i="3" s="1"/>
  <c r="F18" i="3"/>
  <c r="G18" i="3" s="1"/>
  <c r="F17" i="3"/>
  <c r="G17" i="3" s="1"/>
  <c r="H17" i="3" s="1"/>
  <c r="F16" i="3"/>
  <c r="G16" i="3" s="1"/>
  <c r="F15" i="3"/>
  <c r="G15" i="3" s="1"/>
  <c r="F14" i="3"/>
  <c r="G14" i="3" s="1"/>
  <c r="H14" i="3" s="1"/>
  <c r="F11" i="3"/>
  <c r="G11" i="3" s="1"/>
  <c r="H11" i="3" s="1"/>
  <c r="F8" i="3"/>
  <c r="G8" i="3" s="1"/>
  <c r="H8" i="3" s="1"/>
  <c r="F5" i="3"/>
  <c r="G5" i="3" s="1"/>
  <c r="H5" i="3" s="1"/>
  <c r="J12" i="2"/>
  <c r="J13" i="2"/>
  <c r="J9" i="2"/>
  <c r="J10" i="2"/>
  <c r="J8" i="2"/>
  <c r="H6" i="2"/>
  <c r="H7" i="2"/>
  <c r="G7" i="2"/>
  <c r="F7" i="2"/>
  <c r="J11" i="3" l="1"/>
  <c r="J15" i="3"/>
  <c r="K15" i="3" s="1"/>
  <c r="H15" i="3"/>
  <c r="J19" i="3"/>
  <c r="K19" i="3" s="1"/>
  <c r="H19" i="3"/>
  <c r="I5" i="3"/>
  <c r="J16" i="3"/>
  <c r="K16" i="3" s="1"/>
  <c r="H16" i="3"/>
  <c r="J18" i="3"/>
  <c r="K18" i="3" s="1"/>
  <c r="H18" i="3"/>
  <c r="J8" i="3"/>
  <c r="J14" i="3"/>
  <c r="J17" i="3"/>
  <c r="F19" i="2"/>
  <c r="G19" i="2" s="1"/>
  <c r="H19" i="2" s="1"/>
  <c r="F18" i="2"/>
  <c r="G18" i="2" s="1"/>
  <c r="H18" i="2" s="1"/>
  <c r="F17" i="2"/>
  <c r="G17" i="2" s="1"/>
  <c r="H17" i="2" s="1"/>
  <c r="F16" i="2"/>
  <c r="G16" i="2" s="1"/>
  <c r="H16" i="2" s="1"/>
  <c r="F15" i="2"/>
  <c r="G15" i="2" s="1"/>
  <c r="H15" i="2" s="1"/>
  <c r="F14" i="2"/>
  <c r="G14" i="2" s="1"/>
  <c r="H14" i="2" s="1"/>
  <c r="F13" i="2"/>
  <c r="G13" i="2" s="1"/>
  <c r="H13" i="2" s="1"/>
  <c r="F10" i="2"/>
  <c r="G10" i="2" s="1"/>
  <c r="H10" i="2" s="1"/>
  <c r="I14" i="3" l="1"/>
  <c r="I17" i="3"/>
  <c r="I11" i="3"/>
  <c r="I8" i="3"/>
  <c r="L14" i="3"/>
  <c r="K14" i="3"/>
  <c r="N14" i="3" s="1"/>
  <c r="L11" i="3"/>
  <c r="K11" i="3"/>
  <c r="N11" i="3" s="1"/>
  <c r="L8" i="3"/>
  <c r="K8" i="3"/>
  <c r="L17" i="3"/>
  <c r="K17" i="3"/>
  <c r="N17" i="3" s="1"/>
  <c r="I17" i="2"/>
  <c r="I14" i="2"/>
  <c r="J17" i="2"/>
  <c r="J16" i="2"/>
  <c r="K16" i="2" s="1"/>
  <c r="J19" i="2"/>
  <c r="K19" i="2" s="1"/>
  <c r="J18" i="2"/>
  <c r="K18" i="2" s="1"/>
  <c r="H25" i="3" l="1"/>
  <c r="M11" i="3"/>
  <c r="N8" i="3"/>
  <c r="S3" i="3"/>
  <c r="O17" i="3"/>
  <c r="I25" i="3"/>
  <c r="M17" i="3"/>
  <c r="H24" i="3"/>
  <c r="M8" i="3"/>
  <c r="O11" i="3"/>
  <c r="O14" i="3"/>
  <c r="I24" i="3"/>
  <c r="M14" i="3"/>
  <c r="K17" i="2"/>
  <c r="N17" i="2" s="1"/>
  <c r="O17" i="2" s="1"/>
  <c r="L17" i="2"/>
  <c r="F5" i="2"/>
  <c r="G5" i="2" s="1"/>
  <c r="H5" i="2" s="1"/>
  <c r="F6" i="2"/>
  <c r="G6" i="2" s="1"/>
  <c r="F8" i="2"/>
  <c r="G8" i="2" s="1"/>
  <c r="F9" i="2"/>
  <c r="G9" i="2" s="1"/>
  <c r="F12" i="2"/>
  <c r="G12" i="2" s="1"/>
  <c r="J15" i="2" s="1"/>
  <c r="K15" i="2" s="1"/>
  <c r="E4" i="1"/>
  <c r="P17" i="3" l="1"/>
  <c r="H33" i="3" s="1"/>
  <c r="P11" i="3"/>
  <c r="G33" i="3" s="1"/>
  <c r="Q17" i="3"/>
  <c r="H34" i="3" s="1"/>
  <c r="R14" i="3"/>
  <c r="S14" i="3" s="1"/>
  <c r="Q14" i="3"/>
  <c r="H30" i="3" s="1"/>
  <c r="O8" i="3"/>
  <c r="Q8" i="3" s="1"/>
  <c r="G30" i="3" s="1"/>
  <c r="R11" i="3"/>
  <c r="S11" i="3" s="1"/>
  <c r="P14" i="3"/>
  <c r="H29" i="3" s="1"/>
  <c r="R17" i="3"/>
  <c r="S17" i="3" s="1"/>
  <c r="Q11" i="3"/>
  <c r="G34" i="3" s="1"/>
  <c r="I25" i="2"/>
  <c r="M17" i="2"/>
  <c r="P17" i="2" s="1"/>
  <c r="H33" i="2" s="1"/>
  <c r="K10" i="2"/>
  <c r="K13" i="2"/>
  <c r="J14" i="2"/>
  <c r="I5" i="2"/>
  <c r="H9" i="2"/>
  <c r="K9" i="2"/>
  <c r="H8" i="2"/>
  <c r="H12" i="2"/>
  <c r="K12" i="2"/>
  <c r="H11" i="2"/>
  <c r="R8" i="3" l="1"/>
  <c r="S8" i="3" s="1"/>
  <c r="P8" i="3"/>
  <c r="G29" i="3" s="1"/>
  <c r="I11" i="2"/>
  <c r="K14" i="2"/>
  <c r="N14" i="2" s="1"/>
  <c r="O14" i="2" s="1"/>
  <c r="L14" i="2"/>
  <c r="Q17" i="2"/>
  <c r="H34" i="2" s="1"/>
  <c r="I8" i="2"/>
  <c r="K8" i="2"/>
  <c r="L8" i="2"/>
  <c r="K11" i="2"/>
  <c r="N11" i="2" s="1"/>
  <c r="O11" i="2" s="1"/>
  <c r="L11" i="2"/>
  <c r="C4" i="1"/>
  <c r="D4" i="1"/>
  <c r="I24" i="2" l="1"/>
  <c r="M14" i="2"/>
  <c r="P14" i="2" s="1"/>
  <c r="H29" i="2" s="1"/>
  <c r="H25" i="2"/>
  <c r="H24" i="2"/>
  <c r="M11" i="2"/>
  <c r="Q11" i="2" s="1"/>
  <c r="G34" i="2" s="1"/>
  <c r="M8" i="2"/>
  <c r="N8" i="2"/>
  <c r="O8" i="2" s="1"/>
  <c r="S3" i="2"/>
  <c r="R17" i="2" s="1"/>
  <c r="S17" i="2" s="1"/>
  <c r="D8" i="1"/>
  <c r="E8" i="1" s="1"/>
  <c r="R14" i="2" l="1"/>
  <c r="S14" i="2" s="1"/>
  <c r="Q14" i="2"/>
  <c r="H30" i="2" s="1"/>
  <c r="R11" i="2"/>
  <c r="S11" i="2" s="1"/>
  <c r="P11" i="2"/>
  <c r="G33" i="2" s="1"/>
  <c r="R8" i="2"/>
  <c r="S8" i="2" s="1"/>
  <c r="P8" i="2"/>
  <c r="G29" i="2" s="1"/>
  <c r="Q8" i="2"/>
  <c r="G30" i="2" s="1"/>
  <c r="D12" i="1"/>
  <c r="E12" i="1" s="1"/>
  <c r="D11" i="1"/>
  <c r="E11" i="1" s="1"/>
  <c r="D7" i="1"/>
  <c r="E7" i="1" s="1"/>
  <c r="D13" i="1"/>
  <c r="E13" i="1" s="1"/>
  <c r="D14" i="1"/>
  <c r="E14" i="1" s="1"/>
  <c r="D15" i="1"/>
  <c r="E15" i="1" s="1"/>
  <c r="D9" i="1"/>
  <c r="E9" i="1" s="1"/>
  <c r="D10" i="1"/>
  <c r="E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tc={A3DADDD8-ADB2-4AEA-9E0F-BFDE4CF44F39}</author>
    <author>tc={B6062100-CC2A-4769-B555-BE810F6E0557}</author>
    <author>tc={6918959E-5093-4721-A5BF-1605DF41226F}</author>
    <author>tc={BBD695FD-C5CB-4F55-B0AD-A14BA1F56056}</author>
  </authors>
  <commentList>
    <comment ref="S3" authorId="0" shapeId="0" xr:uid="{A3DADDD8-ADB2-4AEA-9E0F-BFDE4CF44F39}">
      <text>
        <t>[Threaded comment]
Your version of Excel allows you to read this threaded comment; however, any edits to it will get removed if the file is opened in a newer version of Excel. Learn more: https://go.microsoft.com/fwlink/?linkid=870924
Comment:
    =T.INV.2T(0.05,2)</t>
      </text>
    </comment>
    <comment ref="E4" authorId="1" shapeId="0" xr:uid="{B6062100-CC2A-4769-B555-BE810F6E0557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the volume of the solution that was not used for immunoprecipitation (aka total DNA)</t>
      </text>
    </comment>
    <comment ref="F30" authorId="2" shapeId="0" xr:uid="{6918959E-5093-4721-A5BF-1605DF41226F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  <comment ref="F34" authorId="3" shapeId="0" xr:uid="{BBD695FD-C5CB-4F55-B0AD-A14BA1F56056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tc={3FCE405E-92E5-465B-BCA1-458F6CEE8B7B}</author>
    <author>tc={04398256-6799-47A4-9D3F-D46AF48F6A7D}</author>
    <author>tc={083D1A3B-60C9-4D5E-8BA0-F0C2DA5F29EE}</author>
    <author>tc={C18A1E65-9E12-46DE-81D2-B3F2BE86218D}</author>
  </authors>
  <commentList>
    <comment ref="S3" authorId="0" shapeId="0" xr:uid="{3FCE405E-92E5-465B-BCA1-458F6CEE8B7B}">
      <text>
        <t>[Threaded comment]
Your version of Excel allows you to read this threaded comment; however, any edits to it will get removed if the file is opened in a newer version of Excel. Learn more: https://go.microsoft.com/fwlink/?linkid=870924
Comment:
    =T.INV.2T(0.05,2)</t>
      </text>
    </comment>
    <comment ref="E4" authorId="1" shapeId="0" xr:uid="{04398256-6799-47A4-9D3F-D46AF48F6A7D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the volume of the solution that was not used for immunoprecipitation (aka total DNA)</t>
      </text>
    </comment>
    <comment ref="F30" authorId="2" shapeId="0" xr:uid="{083D1A3B-60C9-4D5E-8BA0-F0C2DA5F29EE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  <comment ref="F34" authorId="3" shapeId="0" xr:uid="{C18A1E65-9E12-46DE-81D2-B3F2BE86218D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</commentList>
</comments>
</file>

<file path=xl/sharedStrings.xml><?xml version="1.0" encoding="utf-8"?>
<sst xmlns="http://schemas.openxmlformats.org/spreadsheetml/2006/main" count="141" uniqueCount="34">
  <si>
    <t>input %</t>
  </si>
  <si>
    <t>dilution 1:x</t>
  </si>
  <si>
    <t>avg. input Cq</t>
  </si>
  <si>
    <t>adj. input Cq</t>
  </si>
  <si>
    <t>sample</t>
  </si>
  <si>
    <t>input</t>
  </si>
  <si>
    <t>Cq</t>
  </si>
  <si>
    <t>Ab1</t>
  </si>
  <si>
    <t>Neg. Ab</t>
  </si>
  <si>
    <t>dCt</t>
  </si>
  <si>
    <t>% input</t>
  </si>
  <si>
    <t>cq</t>
  </si>
  <si>
    <t>gene</t>
  </si>
  <si>
    <t>ab1</t>
  </si>
  <si>
    <t>mock</t>
  </si>
  <si>
    <t>fold enrichment</t>
  </si>
  <si>
    <t>relative_quantity_dCt</t>
  </si>
  <si>
    <t>std</t>
  </si>
  <si>
    <t>log2_fold_enrichment</t>
  </si>
  <si>
    <t>fold_enrichment_per sample</t>
  </si>
  <si>
    <t>SEM</t>
  </si>
  <si>
    <t>CI constant</t>
  </si>
  <si>
    <t>log2_fold_enrichment_per sample</t>
  </si>
  <si>
    <t>CI_lower</t>
  </si>
  <si>
    <t>CI_upper</t>
  </si>
  <si>
    <t>error_bar_for_plot_negative</t>
  </si>
  <si>
    <t>error_bar_for_plot_positive</t>
  </si>
  <si>
    <t>avg. % input</t>
  </si>
  <si>
    <t>error bar -</t>
  </si>
  <si>
    <t>error bar +</t>
  </si>
  <si>
    <t>biogroup_sample</t>
  </si>
  <si>
    <t>target-1</t>
  </si>
  <si>
    <t>target-2</t>
  </si>
  <si>
    <t>ChIP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</si>
</sst>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6" x14ac:knownFonts="1">
    <font>
      <sz val="11"/>
      <color theme="1"/>
      <name val="Helvetica LT Std"/>
      <family val="2"/>
    </font>
    <font>
      <sz val="8"/>
      <name val="Helvetica LT Std"/>
      <family val="2"/>
    </font>
    <font>
      <sz val="11"/>
      <name val="Helvetica LT Std"/>
      <family val="2"/>
    </font>
    <font>
      <sz val="11"/>
      <color rgb="FF006100"/>
      <name val="Helvetica LT Std"/>
      <family val="2"/>
    </font>
    <font>
      <i/>
      <sz val="11"/>
      <color rgb="FF7F7F7F"/>
      <name val="Helvetica LT Std"/>
      <family val="2"/>
    </font>
    <font>
      <sz val="11"/>
      <color theme="5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8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165" fontId="0" fillId="0" borderId="0" xfId="0" applyNumberFormat="1"/>
    <xf numFmtId="0" fontId="4" fillId="0" borderId="0" xfId="2"/>
    <xf numFmtId="2" fontId="3" fillId="8" borderId="0" xfId="1" applyNumberFormat="1"/>
    <xf numFmtId="2" fontId="4" fillId="0" borderId="0" xfId="2" applyNumberFormat="1"/>
    <xf numFmtId="2" fontId="5" fillId="0" borderId="0" xfId="0" applyNumberFormat="1" applyFont="1"/>
    <xf numFmtId="0" fontId="0" fillId="0" borderId="1" xfId="0" applyBorder="1"/>
  </cellXfs>
  <cellStyles count="3">
    <cellStyle name="Explanatory Text" xfId="2" builtinId="53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'ChIP-qPCR analysis'!$G$24</c:f>
              <c:strCache>
                <c:ptCount val="1"/>
                <c:pt idx="0">
                  <c:v>mock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'ChIP-qPCR analysis'!$G$30:$H$30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87968832.988725737</c:v>
                  </c:pt>
                </c:numCache>
              </c:numRef>
            </c:plus>
            <c:minus>
              <c:numRef>
                <c:f>'ChIP-qPCR analysis'!$G$29:$H$29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4137962.4915570649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'ChIP-qPCR analysis'!$H$23</c:f>
              <c:strCache>
                <c:ptCount val="1"/>
                <c:pt idx="0">
                  <c:v>target-1</c:v>
                </c:pt>
              </c:strCache>
            </c:strRef>
          </c:cat>
          <c:val>
            <c:numRef>
              <c:f>'ChIP-qPCR analysis'!$H$24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D-4CA5-B2D0-664E7CE65F26}"/>
            </c:ext>
          </c:extLst>
        </c:ser>
        <c:ser>
          <c:idx val="1"/>
          <c:order val="1"/>
          <c:tx>
            <c:strRef>
              <c:f>'ChIP-qPCR analysis'!$G$25</c:f>
              <c:strCache>
                <c:ptCount val="1"/>
                <c:pt idx="0">
                  <c:v>ChIP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'ChIP-qPCR analysis'!$G$34:$H$34</c:f>
                <c:numCache>
                  <c:formatCode>General</c:formatCode>
                  <c:ptCount val="2"/>
                  <c:pt idx="0">
                    <c:v>1.7763568394002505E-15</c:v>
                  </c:pt>
                  <c:pt idx="1">
                    <c:v>0</c:v>
                  </c:pt>
                </c:numCache>
              </c:numRef>
            </c:plus>
            <c:minus>
              <c:numRef>
                <c:f>'ChIP-qPCR analysis'!$G$33:$H$33</c:f>
                <c:numCache>
                  <c:formatCode>General</c:formatCode>
                  <c:ptCount val="2"/>
                  <c:pt idx="0">
                    <c:v>1.7763568394002505E-15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'ChIP-qPCR analysis'!$H$23</c:f>
              <c:strCache>
                <c:ptCount val="1"/>
                <c:pt idx="0">
                  <c:v>target-1</c:v>
                </c:pt>
              </c:strCache>
            </c:strRef>
          </c:cat>
          <c:val>
            <c:numRef>
              <c:f>'ChIP-qPCR analysis'!$H$25</c:f>
              <c:numCache>
                <c:formatCode>0.00</c:formatCode>
                <c:ptCount val="1"/>
                <c:pt idx="0">
                  <c:v>9.0004678775104612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4E-4812-A0FC-E7742579D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089216"/>
        <c:axId val="1866319328"/>
      </c:barChart>
      <c:catAx>
        <c:axId val="15190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866319328"/>
        <c:crosses val="autoZero"/>
        <c:auto val="1"/>
        <c:lblAlgn val="ctr"/>
        <c:lblOffset val="100"/>
        <c:noMultiLvlLbl val="0"/>
      </c:catAx>
      <c:valAx>
        <c:axId val="1866319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en-GB"/>
                  <a:t>Fold Enrichment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5190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'ChIP-qPCR analysis_realworld'!$G$24</c:f>
              <c:strCache>
                <c:ptCount val="1"/>
                <c:pt idx="0">
                  <c:v>mock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'ChIP-qPCR analysis_realworld'!$G$30:$H$30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'ChIP-qPCR analysis_realworld'!$G$29:$H$29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'ChIP-qPCR analysis_realworld'!$H$23</c:f>
              <c:strCache>
                <c:ptCount val="1"/>
                <c:pt idx="0">
                  <c:v>target-1</c:v>
                </c:pt>
              </c:strCache>
            </c:strRef>
          </c:cat>
          <c:val>
            <c:numRef>
              <c:f>'ChIP-qPCR analysis_realworld'!$H$24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5-4275-ACAA-B9709C93EB7A}"/>
            </c:ext>
          </c:extLst>
        </c:ser>
        <c:ser>
          <c:idx val="1"/>
          <c:order val="1"/>
          <c:tx>
            <c:strRef>
              <c:f>'ChIP-qPCR analysis_realworld'!$G$25</c:f>
              <c:strCache>
                <c:ptCount val="1"/>
                <c:pt idx="0">
                  <c:v>ChIP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'ChIP-qPCR analysis_realworld'!$G$34:$H$34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'ChIP-qPCR analysis_realworld'!$G$33:$H$33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'ChIP-qPCR analysis_realworld'!$H$23</c:f>
              <c:strCache>
                <c:ptCount val="1"/>
                <c:pt idx="0">
                  <c:v>target-1</c:v>
                </c:pt>
              </c:strCache>
            </c:strRef>
          </c:cat>
          <c:val>
            <c:numRef>
              <c:f>'ChIP-qPCR analysis_realworld'!$H$25</c:f>
              <c:numCache>
                <c:formatCode>0.00</c:formatCode>
                <c:ptCount val="1"/>
                <c:pt idx="0">
                  <c:v>15.999999999999991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E5-4275-ACAA-B9709C93E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089216"/>
        <c:axId val="1866319328"/>
      </c:barChart>
      <c:catAx>
        <c:axId val="15190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866319328"/>
        <c:crosses val="autoZero"/>
        <c:auto val="1"/>
        <c:lblAlgn val="ctr"/>
        <c:lblOffset val="100"/>
        <c:noMultiLvlLbl val="0"/>
      </c:catAx>
      <c:valAx>
        <c:axId val="1866319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en-GB"/>
                  <a:t>Fold Enrichment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5190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326571</xdr:colOff>
      <xdr:row>36</xdr:row>
      <xdr:rowOff>43543</xdr:rowOff>
    </xdr:from>
    <xdr:to>
      <xdr:col>9</xdr:col>
      <xdr:colOff>299357</xdr:colOff>
      <xdr:row>51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5486DF-2F4F-4C08-A6C0-4367C02BB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326571</xdr:colOff>
      <xdr:row>36</xdr:row>
      <xdr:rowOff>43543</xdr:rowOff>
    </xdr:from>
    <xdr:to>
      <xdr:col>9</xdr:col>
      <xdr:colOff>299357</xdr:colOff>
      <xdr:row>51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9E3A20-5AAB-4113-87DF-A9B321062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582C7077-6B0C-4DA2-AB87-423AECCE6576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3" dT="2020-03-13T18:51:07.89" personId="{582C7077-6B0C-4DA2-AB87-423AECCE6576}" id="{A3DADDD8-ADB2-4AEA-9E0F-BFDE4CF44F39}">
    <text>=T.INV.2T(0.05,2)</text>
  </threadedComment>
  <threadedComment ref="E4" dT="2020-03-13T17:05:03.16" personId="{582C7077-6B0C-4DA2-AB87-423AECCE6576}" id="{B6062100-CC2A-4769-B555-BE810F6E0557}">
    <text>% of the volume of the solution that was not used for immunoprecipitation (aka total DNA)</text>
  </threadedComment>
  <threadedComment ref="F30" dT="2020-03-13T19:14:12.41" personId="{582C7077-6B0C-4DA2-AB87-423AECCE6576}" id="{6918959E-5093-4721-A5BF-1605DF41226F}">
    <text>SEM</text>
  </threadedComment>
  <threadedComment ref="F34" dT="2020-03-13T19:14:12.41" personId="{582C7077-6B0C-4DA2-AB87-423AECCE6576}" id="{BBD695FD-C5CB-4F55-B0AD-A14BA1F56056}">
    <text>SEM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S3" dT="2020-03-13T18:51:07.89" personId="{582C7077-6B0C-4DA2-AB87-423AECCE6576}" id="{3FCE405E-92E5-465B-BCA1-458F6CEE8B7B}">
    <text>=T.INV.2T(0.05,2)</text>
  </threadedComment>
  <threadedComment ref="E4" dT="2020-03-13T17:05:03.16" personId="{582C7077-6B0C-4DA2-AB87-423AECCE6576}" id="{04398256-6799-47A4-9D3F-D46AF48F6A7D}">
    <text>% of the volume of the solution that was not used for immunoprecipitation (aka total DNA)</text>
  </threadedComment>
  <threadedComment ref="F30" dT="2020-03-13T19:14:12.41" personId="{582C7077-6B0C-4DA2-AB87-423AECCE6576}" id="{083D1A3B-60C9-4D5E-8BA0-F0C2DA5F29EE}">
    <text>SEM</text>
  </threadedComment>
  <threadedComment ref="F34" dT="2020-03-13T19:14:12.41" personId="{582C7077-6B0C-4DA2-AB87-423AECCE6576}" id="{C18A1E65-9E12-46DE-81D2-B3F2BE86218D}">
    <text>SEM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6DFBC-C1C7-4FEB-86A6-5F92210C3473}">
  <dimension ref="B3:E16"/>
  <sheetViews>
    <sheetView workbookViewId="0">
      <selection activeCell="E4" sqref="E4"/>
    </sheetView>
  </sheetViews>
  <sheetFormatPr defaultRowHeight="14.25" x14ac:dyDescent="0.2"/>
  <cols>
    <col min="2" max="2" width="7.5" bestFit="1" customWidth="1"/>
    <col min="3" max="3" width="9.5" bestFit="1" customWidth="1"/>
    <col min="4" max="4" width="11.625" bestFit="1" customWidth="1"/>
    <col min="5" max="5" width="11" bestFit="1" customWidth="1"/>
  </cols>
  <sheetData>
    <row r="3" spans="2:5" x14ac:dyDescent="0.2">
      <c r="B3" t="s">
        <v>0</v>
      </c>
      <c r="C3" t="s">
        <v>1</v>
      </c>
      <c r="D3" t="s">
        <v>2</v>
      </c>
      <c r="E3" t="s">
        <v>3</v>
      </c>
    </row>
    <row r="4" spans="2:5" x14ac:dyDescent="0.2">
      <c r="B4">
        <v>1</v>
      </c>
      <c r="C4">
        <f>100/B4</f>
        <v>100</v>
      </c>
      <c r="D4" t="e">
        <f>AVERAGE(C7:C9)</f>
        <v>#DIV/0!</v>
      </c>
      <c r="E4" t="e">
        <f>D4-LOG(C4,2)</f>
        <v>#DIV/0!</v>
      </c>
    </row>
    <row r="6" spans="2:5" x14ac:dyDescent="0.2">
      <c r="B6" t="s">
        <v>4</v>
      </c>
      <c r="C6" t="s">
        <v>6</v>
      </c>
      <c r="D6" t="s">
        <v>9</v>
      </c>
      <c r="E6" t="s">
        <v>10</v>
      </c>
    </row>
    <row r="7" spans="2:5" x14ac:dyDescent="0.2">
      <c r="B7" t="s">
        <v>5</v>
      </c>
      <c r="D7" t="e">
        <f>$E$4-C7</f>
        <v>#DIV/0!</v>
      </c>
      <c r="E7" s="1" t="e">
        <f>100*2^D7</f>
        <v>#DIV/0!</v>
      </c>
    </row>
    <row r="8" spans="2:5" x14ac:dyDescent="0.2">
      <c r="B8" t="s">
        <v>5</v>
      </c>
      <c r="D8" t="e">
        <f t="shared" ref="D8:D15" si="0">$E$4-C8</f>
        <v>#DIV/0!</v>
      </c>
      <c r="E8" s="1" t="e">
        <f t="shared" ref="E8:E15" si="1">100*2^D8</f>
        <v>#DIV/0!</v>
      </c>
    </row>
    <row r="9" spans="2:5" x14ac:dyDescent="0.2">
      <c r="B9" t="s">
        <v>5</v>
      </c>
      <c r="D9" t="e">
        <f t="shared" si="0"/>
        <v>#DIV/0!</v>
      </c>
      <c r="E9" s="1" t="e">
        <f t="shared" si="1"/>
        <v>#DIV/0!</v>
      </c>
    </row>
    <row r="10" spans="2:5" x14ac:dyDescent="0.2">
      <c r="B10" t="s">
        <v>7</v>
      </c>
      <c r="D10" t="e">
        <f t="shared" si="0"/>
        <v>#DIV/0!</v>
      </c>
      <c r="E10" s="1" t="e">
        <f t="shared" si="1"/>
        <v>#DIV/0!</v>
      </c>
    </row>
    <row r="11" spans="2:5" x14ac:dyDescent="0.2">
      <c r="B11" t="s">
        <v>7</v>
      </c>
      <c r="D11" t="e">
        <f t="shared" si="0"/>
        <v>#DIV/0!</v>
      </c>
      <c r="E11" s="1" t="e">
        <f t="shared" si="1"/>
        <v>#DIV/0!</v>
      </c>
    </row>
    <row r="12" spans="2:5" x14ac:dyDescent="0.2">
      <c r="B12" t="s">
        <v>7</v>
      </c>
      <c r="D12" t="e">
        <f t="shared" si="0"/>
        <v>#DIV/0!</v>
      </c>
      <c r="E12" s="1" t="e">
        <f t="shared" si="1"/>
        <v>#DIV/0!</v>
      </c>
    </row>
    <row r="13" spans="2:5" x14ac:dyDescent="0.2">
      <c r="B13" t="s">
        <v>8</v>
      </c>
      <c r="D13" t="e">
        <f t="shared" si="0"/>
        <v>#DIV/0!</v>
      </c>
      <c r="E13" s="1" t="e">
        <f t="shared" si="1"/>
        <v>#DIV/0!</v>
      </c>
    </row>
    <row r="14" spans="2:5" x14ac:dyDescent="0.2">
      <c r="B14" t="s">
        <v>8</v>
      </c>
      <c r="D14" t="e">
        <f t="shared" si="0"/>
        <v>#DIV/0!</v>
      </c>
      <c r="E14" s="1" t="e">
        <f t="shared" si="1"/>
        <v>#DIV/0!</v>
      </c>
    </row>
    <row r="15" spans="2:5" x14ac:dyDescent="0.2">
      <c r="B15" t="s">
        <v>8</v>
      </c>
      <c r="D15" t="e">
        <f t="shared" si="0"/>
        <v>#DIV/0!</v>
      </c>
      <c r="E15" s="1" t="e">
        <f t="shared" si="1"/>
        <v>#DIV/0!</v>
      </c>
    </row>
    <row r="16" spans="2:5" x14ac:dyDescent="0.2">
      <c r="E1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90BBC-7BC4-45A7-8DF6-B5E2726CA0B0}">
  <dimension ref="B3:T34"/>
  <sheetViews>
    <sheetView tabSelected="1" zoomScale="70" zoomScaleNormal="70" workbookViewId="0">
      <selection activeCell="F5" sqref="F5"/>
    </sheetView>
  </sheetViews>
  <sheetFormatPr defaultRowHeight="14.25" x14ac:dyDescent="0.2"/>
  <cols>
    <col min="5" max="5" width="13.375" bestFit="1" customWidth="1"/>
    <col min="7" max="7" width="18.25" bestFit="1" customWidth="1"/>
    <col min="9" max="9" width="10.875" bestFit="1" customWidth="1"/>
    <col min="10" max="11" width="13.375" bestFit="1" customWidth="1"/>
    <col min="12" max="13" width="13.375" customWidth="1"/>
    <col min="18" max="18" width="10.25" bestFit="1" customWidth="1"/>
    <col min="19" max="19" width="12.25" bestFit="1" customWidth="1"/>
  </cols>
  <sheetData>
    <row r="3" spans="2:20" x14ac:dyDescent="0.2">
      <c r="R3" t="s">
        <v>21</v>
      </c>
      <c r="S3">
        <f>_xlfn.T.INV.2T(0.05,COUNT(K8:K10)-1)</f>
        <v>4.3026527297494637</v>
      </c>
    </row>
    <row r="4" spans="2:20" ht="42.75" x14ac:dyDescent="0.2">
      <c r="B4" s="3" t="s">
        <v>4</v>
      </c>
      <c r="C4" s="3" t="s">
        <v>12</v>
      </c>
      <c r="D4" s="3" t="s">
        <v>11</v>
      </c>
      <c r="E4" s="3" t="s">
        <v>10</v>
      </c>
      <c r="F4" s="3" t="s">
        <v>9</v>
      </c>
      <c r="G4" s="3" t="s">
        <v>16</v>
      </c>
      <c r="H4" s="3" t="s">
        <v>10</v>
      </c>
      <c r="I4" s="3" t="s">
        <v>27</v>
      </c>
      <c r="J4" s="3" t="s">
        <v>15</v>
      </c>
      <c r="K4" s="10" t="s">
        <v>18</v>
      </c>
      <c r="L4" s="10" t="s">
        <v>19</v>
      </c>
      <c r="M4" s="10" t="s">
        <v>22</v>
      </c>
      <c r="N4" s="3" t="s">
        <v>17</v>
      </c>
      <c r="O4" s="3" t="s">
        <v>20</v>
      </c>
      <c r="P4" s="11" t="s">
        <v>25</v>
      </c>
      <c r="Q4" s="11" t="s">
        <v>26</v>
      </c>
      <c r="R4" s="3" t="s">
        <v>23</v>
      </c>
      <c r="S4" s="3" t="s">
        <v>24</v>
      </c>
      <c r="T4" s="3"/>
    </row>
    <row r="5" spans="2:20" x14ac:dyDescent="0.2">
      <c r="B5" t="s">
        <v>5</v>
      </c>
      <c r="C5" t="s">
        <v>31</v>
      </c>
      <c r="D5" s="4">
        <v>24.01</v>
      </c>
      <c r="E5">
        <v>1</v>
      </c>
      <c r="F5" s="5">
        <f>D5-(AVERAGE($D$5:$D$7)-LOG(100/$E$5,2))</f>
        <v>6.643856189774727</v>
      </c>
      <c r="G5">
        <f>2^-F5</f>
        <v>9.9999999999999881E-3</v>
      </c>
      <c r="H5" s="1">
        <f>G5*100</f>
        <v>0.99999999999999878</v>
      </c>
      <c r="I5" s="2">
        <f>AVERAGE(H5:H7)</f>
        <v>0.99999999999999878</v>
      </c>
    </row>
    <row r="6" spans="2:20" x14ac:dyDescent="0.2">
      <c r="B6" t="s">
        <v>5</v>
      </c>
      <c r="C6" t="s">
        <v>31</v>
      </c>
      <c r="D6" s="4">
        <v>24.01</v>
      </c>
      <c r="E6">
        <v>1</v>
      </c>
      <c r="F6">
        <f t="shared" ref="F6:F19" si="0">D6-(AVERAGE($D$5:$D$7)-LOG(100/$E$5,2))</f>
        <v>6.643856189774727</v>
      </c>
      <c r="G6">
        <f t="shared" ref="G6:G19" si="1">2^-F6</f>
        <v>9.9999999999999881E-3</v>
      </c>
      <c r="H6" s="1">
        <f t="shared" ref="H6:H7" si="2">G6*100</f>
        <v>0.99999999999999878</v>
      </c>
      <c r="I6" s="2"/>
    </row>
    <row r="7" spans="2:20" x14ac:dyDescent="0.2">
      <c r="B7" t="s">
        <v>5</v>
      </c>
      <c r="C7" t="s">
        <v>31</v>
      </c>
      <c r="D7" s="4">
        <v>24.01</v>
      </c>
      <c r="E7">
        <v>1</v>
      </c>
      <c r="F7">
        <f t="shared" si="0"/>
        <v>6.643856189774727</v>
      </c>
      <c r="G7">
        <f t="shared" si="1"/>
        <v>9.9999999999999881E-3</v>
      </c>
      <c r="H7" s="1">
        <f t="shared" si="2"/>
        <v>0.99999999999999878</v>
      </c>
      <c r="I7" s="2"/>
    </row>
    <row r="8" spans="2:20" x14ac:dyDescent="0.2">
      <c r="B8" t="s">
        <v>14</v>
      </c>
      <c r="C8" t="s">
        <v>31</v>
      </c>
      <c r="D8" s="6">
        <v>29.63</v>
      </c>
      <c r="F8" s="7">
        <f t="shared" si="0"/>
        <v>12.263856189774724</v>
      </c>
      <c r="G8">
        <f t="shared" si="1"/>
        <v>2.033346649128022E-4</v>
      </c>
      <c r="H8" s="1">
        <f t="shared" ref="H8:H19" si="3">G8*100</f>
        <v>2.0333466491280219E-2</v>
      </c>
      <c r="I8" s="2">
        <f>AVERAGE(H8:H10)</f>
        <v>2.0333466491280219E-2</v>
      </c>
      <c r="J8" s="1">
        <f>G8/GEOMEAN($G$8:$G$10)</f>
        <v>1</v>
      </c>
      <c r="K8" s="1">
        <f t="shared" ref="K8:K13" si="4">LOG(J8,2)</f>
        <v>0</v>
      </c>
      <c r="L8" s="14">
        <f>GEOMEAN(J8:J10)</f>
        <v>1</v>
      </c>
      <c r="M8" s="1">
        <f>LOG(L8,2)</f>
        <v>0</v>
      </c>
      <c r="N8">
        <f>_xlfn.STDEV.S(K8:K10)</f>
        <v>0</v>
      </c>
      <c r="O8">
        <f>N8/SQRT(COUNT(K8:K10))</f>
        <v>0</v>
      </c>
      <c r="P8" s="16">
        <f>ABS($L8-2^($M8-$O8))</f>
        <v>0</v>
      </c>
      <c r="Q8" s="16">
        <f>ABS($L8-2^($M8+$O8))</f>
        <v>0</v>
      </c>
      <c r="R8">
        <f>(1+1)^(M8-$S$3*O8)</f>
        <v>1</v>
      </c>
      <c r="S8">
        <f>(1+1)^(N8-$S$3*R8)</f>
        <v>5.0672515875583329E-2</v>
      </c>
    </row>
    <row r="9" spans="2:20" x14ac:dyDescent="0.2">
      <c r="B9" t="s">
        <v>14</v>
      </c>
      <c r="C9" t="s">
        <v>31</v>
      </c>
      <c r="D9" s="6">
        <v>29.63</v>
      </c>
      <c r="F9">
        <f t="shared" si="0"/>
        <v>12.263856189774724</v>
      </c>
      <c r="G9">
        <f t="shared" si="1"/>
        <v>2.033346649128022E-4</v>
      </c>
      <c r="H9" s="1">
        <f t="shared" si="3"/>
        <v>2.0333466491280219E-2</v>
      </c>
      <c r="I9" s="2"/>
      <c r="J9" s="1">
        <f t="shared" ref="J9:J13" si="5">G9/GEOMEAN($G$8:$G$10)</f>
        <v>1</v>
      </c>
      <c r="K9" s="1">
        <f t="shared" si="4"/>
        <v>0</v>
      </c>
      <c r="L9" s="1"/>
      <c r="M9" s="1"/>
      <c r="P9" s="16"/>
      <c r="Q9" s="16"/>
    </row>
    <row r="10" spans="2:20" x14ac:dyDescent="0.2">
      <c r="B10" t="s">
        <v>14</v>
      </c>
      <c r="C10" t="s">
        <v>31</v>
      </c>
      <c r="D10" s="6">
        <v>29.63</v>
      </c>
      <c r="F10">
        <f t="shared" si="0"/>
        <v>12.263856189774724</v>
      </c>
      <c r="G10">
        <f t="shared" si="1"/>
        <v>2.033346649128022E-4</v>
      </c>
      <c r="H10" s="1">
        <f t="shared" si="3"/>
        <v>2.0333466491280219E-2</v>
      </c>
      <c r="I10" s="2"/>
      <c r="J10" s="1">
        <f t="shared" si="5"/>
        <v>1</v>
      </c>
      <c r="K10" s="1">
        <f t="shared" si="4"/>
        <v>0</v>
      </c>
      <c r="L10" s="1"/>
      <c r="M10" s="1"/>
      <c r="P10" s="16"/>
      <c r="Q10" s="16"/>
    </row>
    <row r="11" spans="2:20" x14ac:dyDescent="0.2">
      <c r="B11" t="s">
        <v>13</v>
      </c>
      <c r="C11" t="s">
        <v>31</v>
      </c>
      <c r="D11" s="8">
        <v>26.46</v>
      </c>
      <c r="F11" s="9">
        <f>D11-(AVERAGE($D$5:$D$7)-LOG(100/$E$5,2))</f>
        <v>9.0938561897747263</v>
      </c>
      <c r="G11">
        <f>2^-F11</f>
        <v>1.8301071199320297E-3</v>
      </c>
      <c r="H11" s="1">
        <f t="shared" si="3"/>
        <v>0.18301071199320296</v>
      </c>
      <c r="I11" s="2">
        <f>AVERAGE(H11:H13)</f>
        <v>0.18301071199320296</v>
      </c>
      <c r="J11" s="1">
        <f>G11/GEOMEAN($G$8:$G$10)</f>
        <v>9.0004678775104612</v>
      </c>
      <c r="K11" s="1">
        <f t="shared" si="4"/>
        <v>3.1699999999999982</v>
      </c>
      <c r="L11" s="14">
        <f>GEOMEAN(J11:J13)</f>
        <v>9.0004678775104612</v>
      </c>
      <c r="M11" s="1">
        <f>LOG(L11,2)</f>
        <v>3.1699999999999982</v>
      </c>
      <c r="N11">
        <f>_xlfn.STDEV.S(K11:K13)</f>
        <v>0</v>
      </c>
      <c r="O11">
        <f>N11/SQRT(COUNT(K11:K13))</f>
        <v>0</v>
      </c>
      <c r="P11" s="16">
        <f>ABS($L11-2^($M11-$O11))</f>
        <v>1.7763568394002505E-15</v>
      </c>
      <c r="Q11" s="16">
        <f>ABS($L11-2^($M11+$O11))</f>
        <v>1.7763568394002505E-15</v>
      </c>
      <c r="R11">
        <f>(1+1)^(M11-$S$3*O11)</f>
        <v>9.000467877510463</v>
      </c>
      <c r="S11">
        <f>(1+1)^(N11-$S$3*R11)</f>
        <v>2.1996126008494224E-12</v>
      </c>
    </row>
    <row r="12" spans="2:20" x14ac:dyDescent="0.2">
      <c r="B12" t="s">
        <v>13</v>
      </c>
      <c r="C12" t="s">
        <v>31</v>
      </c>
      <c r="D12" s="8">
        <v>26.46</v>
      </c>
      <c r="F12">
        <f t="shared" si="0"/>
        <v>9.0938561897747263</v>
      </c>
      <c r="G12">
        <f t="shared" si="1"/>
        <v>1.8301071199320297E-3</v>
      </c>
      <c r="H12" s="1">
        <f t="shared" si="3"/>
        <v>0.18301071199320296</v>
      </c>
      <c r="I12" s="2"/>
      <c r="J12" s="1">
        <f t="shared" si="5"/>
        <v>9.0004678775104612</v>
      </c>
      <c r="K12" s="1">
        <f t="shared" si="4"/>
        <v>3.1699999999999982</v>
      </c>
      <c r="L12" s="1"/>
      <c r="M12" s="1"/>
      <c r="P12" s="16"/>
      <c r="Q12" s="16"/>
    </row>
    <row r="13" spans="2:20" x14ac:dyDescent="0.2">
      <c r="B13" t="s">
        <v>13</v>
      </c>
      <c r="C13" t="s">
        <v>31</v>
      </c>
      <c r="D13" s="8">
        <v>26.46</v>
      </c>
      <c r="F13">
        <f t="shared" si="0"/>
        <v>9.0938561897747263</v>
      </c>
      <c r="G13">
        <f t="shared" si="1"/>
        <v>1.8301071199320297E-3</v>
      </c>
      <c r="H13" s="1">
        <f t="shared" si="3"/>
        <v>0.18301071199320296</v>
      </c>
      <c r="I13" s="2"/>
      <c r="J13" s="1">
        <f t="shared" si="5"/>
        <v>9.0004678775104612</v>
      </c>
      <c r="K13" s="1">
        <f t="shared" si="4"/>
        <v>3.1699999999999982</v>
      </c>
      <c r="L13" s="1"/>
      <c r="M13" s="1"/>
      <c r="P13" s="16"/>
      <c r="Q13" s="16"/>
    </row>
    <row r="14" spans="2:20" x14ac:dyDescent="0.2">
      <c r="B14" t="s">
        <v>14</v>
      </c>
      <c r="C14" t="s">
        <v>32</v>
      </c>
      <c r="D14" s="8"/>
      <c r="F14">
        <f t="shared" si="0"/>
        <v>-17.366143810225275</v>
      </c>
      <c r="G14">
        <f t="shared" si="1"/>
        <v>168939.10765700371</v>
      </c>
      <c r="H14" s="1">
        <f t="shared" si="3"/>
        <v>16893910.76570037</v>
      </c>
      <c r="I14" s="2">
        <f>AVERAGE(H14:H16)</f>
        <v>16893910.76570037</v>
      </c>
      <c r="J14" s="1">
        <f t="shared" ref="J14:J19" si="6">G14/GEOMEAN(G11:G12)</f>
        <v>92311048.799852833</v>
      </c>
      <c r="K14" s="1">
        <f t="shared" ref="K14:K19" si="7">LOG(J14,2)</f>
        <v>26.460000000000004</v>
      </c>
      <c r="L14" s="14">
        <f>GEOMEAN(J14:J16)</f>
        <v>4342215.8111275863</v>
      </c>
      <c r="M14" s="1">
        <f>LOG(L14,2)</f>
        <v>22.05</v>
      </c>
      <c r="N14">
        <f>_xlfn.STDEV.S(K14:K16)</f>
        <v>7.6383440613787625</v>
      </c>
      <c r="O14">
        <f>N14/SQRT(COUNT(K14:K16))</f>
        <v>4.4100000000000081</v>
      </c>
      <c r="P14" s="16">
        <f>ABS($L14-2^($M14-$O14))</f>
        <v>4137962.4915570649</v>
      </c>
      <c r="Q14" s="16">
        <f>ABS($L14-2^($M14+$O14))</f>
        <v>87968832.988725737</v>
      </c>
      <c r="R14">
        <f>(1+1)^(M14-$S$3*O14)</f>
        <v>8.4286493322911564</v>
      </c>
      <c r="S14">
        <f>(1+1)^(N14-$S$3*R14)</f>
        <v>2.4118594840771267E-9</v>
      </c>
    </row>
    <row r="15" spans="2:20" x14ac:dyDescent="0.2">
      <c r="B15" t="s">
        <v>14</v>
      </c>
      <c r="C15" t="s">
        <v>32</v>
      </c>
      <c r="D15" s="8"/>
      <c r="F15">
        <f t="shared" si="0"/>
        <v>-17.366143810225275</v>
      </c>
      <c r="G15">
        <f t="shared" si="1"/>
        <v>168939.10765700371</v>
      </c>
      <c r="H15" s="1">
        <f t="shared" si="3"/>
        <v>16893910.76570037</v>
      </c>
      <c r="I15" s="2"/>
      <c r="J15" s="1">
        <f t="shared" si="6"/>
        <v>92311048.799852833</v>
      </c>
      <c r="K15" s="1">
        <f t="shared" si="7"/>
        <v>26.460000000000004</v>
      </c>
      <c r="L15" s="1"/>
      <c r="M15" s="1"/>
      <c r="P15" s="16"/>
      <c r="Q15" s="16"/>
    </row>
    <row r="16" spans="2:20" x14ac:dyDescent="0.2">
      <c r="B16" t="s">
        <v>14</v>
      </c>
      <c r="C16" t="s">
        <v>32</v>
      </c>
      <c r="D16" s="8"/>
      <c r="F16">
        <f t="shared" si="0"/>
        <v>-17.366143810225275</v>
      </c>
      <c r="G16">
        <f t="shared" si="1"/>
        <v>168939.10765700371</v>
      </c>
      <c r="H16" s="1">
        <f t="shared" si="3"/>
        <v>16893910.76570037</v>
      </c>
      <c r="I16" s="2"/>
      <c r="J16" s="1">
        <f t="shared" si="6"/>
        <v>9607.863904107553</v>
      </c>
      <c r="K16" s="1">
        <f t="shared" si="7"/>
        <v>13.230000000000002</v>
      </c>
      <c r="L16" s="1"/>
      <c r="M16" s="1"/>
      <c r="P16" s="16"/>
      <c r="Q16" s="16"/>
    </row>
    <row r="17" spans="2:19" x14ac:dyDescent="0.2">
      <c r="B17" t="s">
        <v>13</v>
      </c>
      <c r="C17" t="s">
        <v>32</v>
      </c>
      <c r="D17" s="8"/>
      <c r="F17">
        <f t="shared" si="0"/>
        <v>-17.366143810225275</v>
      </c>
      <c r="G17">
        <f t="shared" si="1"/>
        <v>168939.10765700371</v>
      </c>
      <c r="H17" s="1">
        <f t="shared" si="3"/>
        <v>16893910.76570037</v>
      </c>
      <c r="I17" s="2">
        <f>AVERAGE(H17:H19)</f>
        <v>16893910.76570037</v>
      </c>
      <c r="J17" s="1">
        <f t="shared" si="6"/>
        <v>1</v>
      </c>
      <c r="K17" s="1">
        <f t="shared" si="7"/>
        <v>0</v>
      </c>
      <c r="L17" s="14">
        <f>GEOMEAN(J17:J19)</f>
        <v>1</v>
      </c>
      <c r="M17" s="1">
        <f>LOG(L17,2)</f>
        <v>0</v>
      </c>
      <c r="N17">
        <f>_xlfn.STDEV.S(K17:K19)</f>
        <v>0</v>
      </c>
      <c r="O17">
        <f>N17/SQRT(COUNT(K17:K19))</f>
        <v>0</v>
      </c>
      <c r="P17" s="16">
        <f>ABS($L17-2^($M17-$O17))</f>
        <v>0</v>
      </c>
      <c r="Q17" s="16">
        <f>ABS($L17-2^($M17+$O17))</f>
        <v>0</v>
      </c>
      <c r="R17">
        <f>(1+1)^(M17-$S$3*O17)</f>
        <v>1</v>
      </c>
      <c r="S17">
        <f>(1+1)^(N17-$S$3*R17)</f>
        <v>5.0672515875583329E-2</v>
      </c>
    </row>
    <row r="18" spans="2:19" x14ac:dyDescent="0.2">
      <c r="B18" t="s">
        <v>13</v>
      </c>
      <c r="C18" t="s">
        <v>32</v>
      </c>
      <c r="D18" s="8"/>
      <c r="F18">
        <f t="shared" si="0"/>
        <v>-17.366143810225275</v>
      </c>
      <c r="G18">
        <f t="shared" si="1"/>
        <v>168939.10765700371</v>
      </c>
      <c r="H18" s="1">
        <f t="shared" si="3"/>
        <v>16893910.76570037</v>
      </c>
      <c r="J18" s="1">
        <f t="shared" si="6"/>
        <v>1</v>
      </c>
      <c r="K18" s="1">
        <f t="shared" si="7"/>
        <v>0</v>
      </c>
    </row>
    <row r="19" spans="2:19" x14ac:dyDescent="0.2">
      <c r="B19" t="s">
        <v>13</v>
      </c>
      <c r="C19" t="s">
        <v>32</v>
      </c>
      <c r="D19" s="8"/>
      <c r="F19">
        <f t="shared" si="0"/>
        <v>-17.366143810225275</v>
      </c>
      <c r="G19">
        <f t="shared" si="1"/>
        <v>168939.10765700371</v>
      </c>
      <c r="H19" s="1">
        <f t="shared" si="3"/>
        <v>16893910.76570037</v>
      </c>
      <c r="J19" s="1">
        <f t="shared" si="6"/>
        <v>1</v>
      </c>
      <c r="K19" s="1">
        <f t="shared" si="7"/>
        <v>0</v>
      </c>
    </row>
    <row r="21" spans="2:19" s="17" customFormat="1" x14ac:dyDescent="0.2"/>
    <row r="23" spans="2:19" x14ac:dyDescent="0.2">
      <c r="G23" s="10" t="s">
        <v>30</v>
      </c>
      <c r="H23" s="12" t="s">
        <v>31</v>
      </c>
      <c r="I23" s="13" t="s">
        <v>32</v>
      </c>
    </row>
    <row r="24" spans="2:19" x14ac:dyDescent="0.2">
      <c r="B24" s="3"/>
      <c r="C24" s="3"/>
      <c r="G24" t="s">
        <v>14</v>
      </c>
      <c r="H24" s="14">
        <f>L8</f>
        <v>1</v>
      </c>
      <c r="I24" s="15">
        <f>L14</f>
        <v>4342215.8111275863</v>
      </c>
    </row>
    <row r="25" spans="2:19" x14ac:dyDescent="0.2">
      <c r="G25" t="s">
        <v>33</v>
      </c>
      <c r="H25" s="14">
        <f>L11</f>
        <v>9.0004678775104612</v>
      </c>
      <c r="I25" s="15">
        <f>L17</f>
        <v>1</v>
      </c>
    </row>
    <row r="28" spans="2:19" x14ac:dyDescent="0.2">
      <c r="F28" t="s">
        <v>14</v>
      </c>
      <c r="G28" t="s">
        <v>31</v>
      </c>
      <c r="H28" s="13" t="s">
        <v>32</v>
      </c>
    </row>
    <row r="29" spans="2:19" x14ac:dyDescent="0.2">
      <c r="F29" t="s">
        <v>28</v>
      </c>
      <c r="G29" s="16">
        <f>P8</f>
        <v>0</v>
      </c>
      <c r="H29" s="15">
        <f>P14</f>
        <v>4137962.4915570649</v>
      </c>
    </row>
    <row r="30" spans="2:19" x14ac:dyDescent="0.2">
      <c r="F30" t="s">
        <v>29</v>
      </c>
      <c r="G30" s="16">
        <f>Q8</f>
        <v>0</v>
      </c>
      <c r="H30" s="15">
        <f>Q14</f>
        <v>87968832.988725737</v>
      </c>
    </row>
    <row r="32" spans="2:19" x14ac:dyDescent="0.2">
      <c r="F32" t="s">
        <v>33</v>
      </c>
      <c r="H32" s="13"/>
    </row>
    <row r="33" spans="6:8" x14ac:dyDescent="0.2">
      <c r="F33" t="s">
        <v>28</v>
      </c>
      <c r="G33" s="16">
        <f>P11</f>
        <v>1.7763568394002505E-15</v>
      </c>
      <c r="H33" s="15">
        <f>P17</f>
        <v>0</v>
      </c>
    </row>
    <row r="34" spans="6:8" x14ac:dyDescent="0.2">
      <c r="F34" t="s">
        <v>29</v>
      </c>
      <c r="G34" s="16">
        <f>Q11</f>
        <v>1.7763568394002505E-15</v>
      </c>
      <c r="H34" s="15">
        <f>Q17</f>
        <v>0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5D3CD-4B7B-4508-9BA1-1F34A3D88945}">
  <dimension ref="B3:T34"/>
  <sheetViews>
    <sheetView topLeftCell="A3" zoomScale="70" zoomScaleNormal="70" workbookViewId="0">
      <selection activeCell="E6" sqref="E6"/>
    </sheetView>
  </sheetViews>
  <sheetFormatPr defaultRowHeight="14.25" x14ac:dyDescent="0.2"/>
  <cols>
    <col min="5" max="5" width="13.375" bestFit="1" customWidth="1"/>
    <col min="7" max="7" width="18.25" bestFit="1" customWidth="1"/>
    <col min="9" max="9" width="10.875" bestFit="1" customWidth="1"/>
    <col min="10" max="11" width="13.375" bestFit="1" customWidth="1"/>
    <col min="12" max="13" width="13.375" customWidth="1"/>
    <col min="18" max="18" width="10.25" bestFit="1" customWidth="1"/>
    <col min="19" max="19" width="12.25" bestFit="1" customWidth="1"/>
  </cols>
  <sheetData>
    <row r="3" spans="2:20" x14ac:dyDescent="0.2">
      <c r="R3" t="s">
        <v>21</v>
      </c>
      <c r="S3" t="e">
        <f>_xlfn.T.INV.2T(0.05,COUNT(K8:K10)-1)</f>
        <v>#NUM!</v>
      </c>
    </row>
    <row r="4" spans="2:20" ht="42.75" x14ac:dyDescent="0.2">
      <c r="B4" s="3" t="s">
        <v>4</v>
      </c>
      <c r="C4" s="3" t="s">
        <v>12</v>
      </c>
      <c r="D4" s="3" t="s">
        <v>11</v>
      </c>
      <c r="E4" s="3" t="s">
        <v>10</v>
      </c>
      <c r="F4" s="3" t="s">
        <v>9</v>
      </c>
      <c r="G4" s="3" t="s">
        <v>16</v>
      </c>
      <c r="H4" s="3" t="s">
        <v>10</v>
      </c>
      <c r="I4" s="3" t="s">
        <v>27</v>
      </c>
      <c r="J4" s="3" t="s">
        <v>15</v>
      </c>
      <c r="K4" s="10" t="s">
        <v>18</v>
      </c>
      <c r="L4" s="10" t="s">
        <v>19</v>
      </c>
      <c r="M4" s="10" t="s">
        <v>22</v>
      </c>
      <c r="N4" s="3" t="s">
        <v>17</v>
      </c>
      <c r="O4" s="3" t="s">
        <v>20</v>
      </c>
      <c r="P4" s="11" t="s">
        <v>25</v>
      </c>
      <c r="Q4" s="11" t="s">
        <v>26</v>
      </c>
      <c r="R4" s="3" t="s">
        <v>23</v>
      </c>
      <c r="S4" s="3" t="s">
        <v>24</v>
      </c>
      <c r="T4" s="3"/>
    </row>
    <row r="5" spans="2:20" x14ac:dyDescent="0.2">
      <c r="B5" t="s">
        <v>5</v>
      </c>
      <c r="C5" t="s">
        <v>31</v>
      </c>
      <c r="D5" s="4">
        <v>29.8</v>
      </c>
      <c r="E5">
        <v>2</v>
      </c>
      <c r="F5" s="5">
        <f>D5-(AVERAGE($D$5:$D$7)-LOG(100/$E$5,2))</f>
        <v>5.6438561897747235</v>
      </c>
      <c r="G5">
        <f>2^-F5</f>
        <v>2.0000000000000021E-2</v>
      </c>
      <c r="H5" s="1">
        <f>G5*100</f>
        <v>2.0000000000000022</v>
      </c>
      <c r="I5" s="2">
        <f>AVERAGE(H5:H7)</f>
        <v>2.0000000000000022</v>
      </c>
    </row>
    <row r="6" spans="2:20" x14ac:dyDescent="0.2">
      <c r="B6" t="s">
        <v>5</v>
      </c>
      <c r="C6" t="s">
        <v>31</v>
      </c>
      <c r="D6" s="4"/>
      <c r="H6" s="1"/>
      <c r="I6" s="2"/>
    </row>
    <row r="7" spans="2:20" x14ac:dyDescent="0.2">
      <c r="B7" t="s">
        <v>5</v>
      </c>
      <c r="C7" t="s">
        <v>31</v>
      </c>
      <c r="D7" s="4"/>
      <c r="H7" s="1"/>
      <c r="I7" s="2"/>
    </row>
    <row r="8" spans="2:20" x14ac:dyDescent="0.2">
      <c r="B8" t="s">
        <v>14</v>
      </c>
      <c r="C8" t="s">
        <v>31</v>
      </c>
      <c r="D8" s="6">
        <v>34</v>
      </c>
      <c r="F8" s="7">
        <f t="shared" ref="F8:F19" si="0">D8-(AVERAGE($D$5:$D$7)-LOG(100/$E$5,2))</f>
        <v>9.8438561897747228</v>
      </c>
      <c r="G8">
        <f t="shared" ref="G8:G19" si="1">2^-F8</f>
        <v>1.0881882041201573E-3</v>
      </c>
      <c r="H8" s="1">
        <f t="shared" ref="H8:H19" si="2">G8*100</f>
        <v>0.10881882041201574</v>
      </c>
      <c r="I8" s="2">
        <f>AVERAGE(H8:H10)</f>
        <v>0.10881882041201574</v>
      </c>
      <c r="J8" s="1">
        <f>G8/GEOMEAN($G$8:$G$10)</f>
        <v>1</v>
      </c>
      <c r="K8" s="1">
        <f t="shared" ref="K8:K19" si="3">LOG(J8,2)</f>
        <v>0</v>
      </c>
      <c r="L8" s="14">
        <f>GEOMEAN(J8:J10)</f>
        <v>1</v>
      </c>
      <c r="M8" s="1">
        <f>LOG(L8,2)</f>
        <v>0</v>
      </c>
      <c r="N8" t="e">
        <f>_xlfn.STDEV.S(K8:K10)</f>
        <v>#DIV/0!</v>
      </c>
      <c r="O8" t="e">
        <f>N8/SQRT(COUNT(K8:K10))</f>
        <v>#DIV/0!</v>
      </c>
      <c r="P8" s="16" t="e">
        <f>ABS($L8-2^($M8-$O8))</f>
        <v>#DIV/0!</v>
      </c>
      <c r="Q8" s="16" t="e">
        <f>ABS($L8-2^($M8+$O8))</f>
        <v>#DIV/0!</v>
      </c>
      <c r="R8" t="e">
        <f>(1+1)^(M8-$S$3*O8)</f>
        <v>#NUM!</v>
      </c>
      <c r="S8" t="e">
        <f>(1+1)^(N8-$S$3*R8)</f>
        <v>#DIV/0!</v>
      </c>
    </row>
    <row r="9" spans="2:20" x14ac:dyDescent="0.2">
      <c r="B9" t="s">
        <v>14</v>
      </c>
      <c r="C9" t="s">
        <v>31</v>
      </c>
      <c r="D9" s="6"/>
      <c r="H9" s="1"/>
      <c r="I9" s="2"/>
      <c r="J9" s="1"/>
      <c r="K9" s="1"/>
      <c r="L9" s="1"/>
      <c r="M9" s="1"/>
      <c r="P9" s="16"/>
      <c r="Q9" s="16"/>
    </row>
    <row r="10" spans="2:20" x14ac:dyDescent="0.2">
      <c r="B10" t="s">
        <v>14</v>
      </c>
      <c r="C10" t="s">
        <v>31</v>
      </c>
      <c r="D10" s="6"/>
      <c r="H10" s="1"/>
      <c r="I10" s="2"/>
      <c r="J10" s="1"/>
      <c r="K10" s="1"/>
      <c r="L10" s="1"/>
      <c r="M10" s="1"/>
      <c r="P10" s="16"/>
      <c r="Q10" s="16"/>
    </row>
    <row r="11" spans="2:20" x14ac:dyDescent="0.2">
      <c r="B11" t="s">
        <v>13</v>
      </c>
      <c r="C11" t="s">
        <v>31</v>
      </c>
      <c r="D11" s="8">
        <v>30</v>
      </c>
      <c r="F11" s="9">
        <f t="shared" si="0"/>
        <v>5.8438561897747228</v>
      </c>
      <c r="G11">
        <f t="shared" si="1"/>
        <v>1.7411011265922507E-2</v>
      </c>
      <c r="H11" s="1">
        <f t="shared" si="2"/>
        <v>1.7411011265922507</v>
      </c>
      <c r="I11" s="2">
        <f>AVERAGE(H11:H13)</f>
        <v>1.7411011265922507</v>
      </c>
      <c r="J11" s="1">
        <f>G11/GEOMEAN($G$8:$G$10)</f>
        <v>15.999999999999991</v>
      </c>
      <c r="K11" s="1">
        <f t="shared" si="3"/>
        <v>3.9999999999999996</v>
      </c>
      <c r="L11" s="14">
        <f>GEOMEAN(J11:J13)</f>
        <v>15.999999999999991</v>
      </c>
      <c r="M11" s="1">
        <f>LOG(L11,2)</f>
        <v>3.9999999999999996</v>
      </c>
      <c r="N11" t="e">
        <f>_xlfn.STDEV.S(K11:K13)</f>
        <v>#DIV/0!</v>
      </c>
      <c r="O11" t="e">
        <f>N11/SQRT(COUNT(K11:K13))</f>
        <v>#DIV/0!</v>
      </c>
      <c r="P11" s="16" t="e">
        <f>ABS($L11-2^($M11-$O11))</f>
        <v>#DIV/0!</v>
      </c>
      <c r="Q11" s="16" t="e">
        <f>ABS($L11-2^($M11+$O11))</f>
        <v>#DIV/0!</v>
      </c>
      <c r="R11" t="e">
        <f>(1+1)^(M11-$S$3*O11)</f>
        <v>#NUM!</v>
      </c>
      <c r="S11" t="e">
        <f>(1+1)^(N11-$S$3*R11)</f>
        <v>#DIV/0!</v>
      </c>
    </row>
    <row r="12" spans="2:20" x14ac:dyDescent="0.2">
      <c r="B12" t="s">
        <v>13</v>
      </c>
      <c r="C12" t="s">
        <v>31</v>
      </c>
      <c r="D12" s="8"/>
      <c r="H12" s="1"/>
      <c r="I12" s="2"/>
      <c r="J12" s="1"/>
      <c r="K12" s="1"/>
      <c r="L12" s="1"/>
      <c r="M12" s="1"/>
      <c r="P12" s="16"/>
      <c r="Q12" s="16"/>
    </row>
    <row r="13" spans="2:20" x14ac:dyDescent="0.2">
      <c r="B13" t="s">
        <v>13</v>
      </c>
      <c r="C13" t="s">
        <v>31</v>
      </c>
      <c r="D13" s="8"/>
      <c r="H13" s="1"/>
      <c r="I13" s="2"/>
      <c r="J13" s="1"/>
      <c r="K13" s="1"/>
      <c r="L13" s="1"/>
      <c r="M13" s="1"/>
      <c r="P13" s="16"/>
      <c r="Q13" s="16"/>
    </row>
    <row r="14" spans="2:20" x14ac:dyDescent="0.2">
      <c r="B14" t="s">
        <v>14</v>
      </c>
      <c r="C14" t="s">
        <v>32</v>
      </c>
      <c r="D14" s="8"/>
      <c r="F14">
        <f t="shared" si="0"/>
        <v>-24.156143810225277</v>
      </c>
      <c r="G14">
        <f t="shared" si="1"/>
        <v>18694930.994356167</v>
      </c>
      <c r="H14" s="1">
        <f t="shared" si="2"/>
        <v>1869493099.4356167</v>
      </c>
      <c r="I14" s="2">
        <f>AVERAGE(H14:H16)</f>
        <v>1869493099.4356167</v>
      </c>
      <c r="J14" s="1">
        <f t="shared" ref="J14:J19" si="4">G14/GEOMEAN(G11:G12)</f>
        <v>1073741823.9999992</v>
      </c>
      <c r="K14" s="1">
        <f t="shared" si="3"/>
        <v>30</v>
      </c>
      <c r="L14" s="14" t="e">
        <f>GEOMEAN(J14:J16)</f>
        <v>#NUM!</v>
      </c>
      <c r="M14" s="1" t="e">
        <f>LOG(L14,2)</f>
        <v>#NUM!</v>
      </c>
      <c r="N14" t="e">
        <f>_xlfn.STDEV.S(K14:K16)</f>
        <v>#NUM!</v>
      </c>
      <c r="O14" t="e">
        <f>N14/SQRT(COUNT(K14:K16))</f>
        <v>#NUM!</v>
      </c>
      <c r="P14" s="16" t="e">
        <f>ABS($L14-2^($M14-$O14))</f>
        <v>#NUM!</v>
      </c>
      <c r="Q14" s="16" t="e">
        <f>ABS($L14-2^($M14+$O14))</f>
        <v>#NUM!</v>
      </c>
      <c r="R14" t="e">
        <f>(1+1)^(M14-$S$3*O14)</f>
        <v>#NUM!</v>
      </c>
      <c r="S14" t="e">
        <f>(1+1)^(N14-$S$3*R14)</f>
        <v>#NUM!</v>
      </c>
    </row>
    <row r="15" spans="2:20" x14ac:dyDescent="0.2">
      <c r="B15" t="s">
        <v>14</v>
      </c>
      <c r="C15" t="s">
        <v>32</v>
      </c>
      <c r="D15" s="8"/>
      <c r="F15">
        <f t="shared" si="0"/>
        <v>-24.156143810225277</v>
      </c>
      <c r="G15">
        <f t="shared" si="1"/>
        <v>18694930.994356167</v>
      </c>
      <c r="H15" s="1">
        <f t="shared" si="2"/>
        <v>1869493099.4356167</v>
      </c>
      <c r="I15" s="2"/>
      <c r="J15" s="1" t="e">
        <f t="shared" si="4"/>
        <v>#NUM!</v>
      </c>
      <c r="K15" s="1" t="e">
        <f t="shared" si="3"/>
        <v>#NUM!</v>
      </c>
      <c r="L15" s="1"/>
      <c r="M15" s="1"/>
      <c r="P15" s="16"/>
      <c r="Q15" s="16"/>
    </row>
    <row r="16" spans="2:20" x14ac:dyDescent="0.2">
      <c r="B16" t="s">
        <v>14</v>
      </c>
      <c r="C16" t="s">
        <v>32</v>
      </c>
      <c r="D16" s="8"/>
      <c r="F16">
        <f t="shared" si="0"/>
        <v>-24.156143810225277</v>
      </c>
      <c r="G16">
        <f t="shared" si="1"/>
        <v>18694930.994356167</v>
      </c>
      <c r="H16" s="1">
        <f t="shared" si="2"/>
        <v>1869493099.4356167</v>
      </c>
      <c r="I16" s="2"/>
      <c r="J16" s="1">
        <f t="shared" si="4"/>
        <v>1</v>
      </c>
      <c r="K16" s="1">
        <f t="shared" si="3"/>
        <v>0</v>
      </c>
      <c r="L16" s="1"/>
      <c r="M16" s="1"/>
      <c r="P16" s="16"/>
      <c r="Q16" s="16"/>
    </row>
    <row r="17" spans="2:19" x14ac:dyDescent="0.2">
      <c r="B17" t="s">
        <v>13</v>
      </c>
      <c r="C17" t="s">
        <v>32</v>
      </c>
      <c r="D17" s="8"/>
      <c r="F17">
        <f t="shared" si="0"/>
        <v>-24.156143810225277</v>
      </c>
      <c r="G17">
        <f t="shared" si="1"/>
        <v>18694930.994356167</v>
      </c>
      <c r="H17" s="1">
        <f t="shared" si="2"/>
        <v>1869493099.4356167</v>
      </c>
      <c r="I17" s="2">
        <f>AVERAGE(H17:H19)</f>
        <v>1869493099.4356167</v>
      </c>
      <c r="J17" s="1">
        <f t="shared" si="4"/>
        <v>1</v>
      </c>
      <c r="K17" s="1">
        <f t="shared" si="3"/>
        <v>0</v>
      </c>
      <c r="L17" s="14">
        <f>GEOMEAN(J17:J19)</f>
        <v>1</v>
      </c>
      <c r="M17" s="1">
        <f>LOG(L17,2)</f>
        <v>0</v>
      </c>
      <c r="N17">
        <f>_xlfn.STDEV.S(K17:K19)</f>
        <v>0</v>
      </c>
      <c r="O17">
        <f>N17/SQRT(COUNT(K17:K19))</f>
        <v>0</v>
      </c>
      <c r="P17" s="16">
        <f>ABS($L17-2^($M17-$O17))</f>
        <v>0</v>
      </c>
      <c r="Q17" s="16">
        <f>ABS($L17-2^($M17+$O17))</f>
        <v>0</v>
      </c>
      <c r="R17" t="e">
        <f>(1+1)^(M17-$S$3*O17)</f>
        <v>#NUM!</v>
      </c>
      <c r="S17" t="e">
        <f>(1+1)^(N17-$S$3*R17)</f>
        <v>#NUM!</v>
      </c>
    </row>
    <row r="18" spans="2:19" x14ac:dyDescent="0.2">
      <c r="B18" t="s">
        <v>13</v>
      </c>
      <c r="C18" t="s">
        <v>32</v>
      </c>
      <c r="D18" s="8"/>
      <c r="F18">
        <f t="shared" si="0"/>
        <v>-24.156143810225277</v>
      </c>
      <c r="G18">
        <f t="shared" si="1"/>
        <v>18694930.994356167</v>
      </c>
      <c r="H18" s="1">
        <f t="shared" si="2"/>
        <v>1869493099.4356167</v>
      </c>
      <c r="J18" s="1">
        <f t="shared" si="4"/>
        <v>1</v>
      </c>
      <c r="K18" s="1">
        <f t="shared" si="3"/>
        <v>0</v>
      </c>
    </row>
    <row r="19" spans="2:19" x14ac:dyDescent="0.2">
      <c r="B19" t="s">
        <v>13</v>
      </c>
      <c r="C19" t="s">
        <v>32</v>
      </c>
      <c r="D19" s="8"/>
      <c r="F19">
        <f t="shared" si="0"/>
        <v>-24.156143810225277</v>
      </c>
      <c r="G19">
        <f t="shared" si="1"/>
        <v>18694930.994356167</v>
      </c>
      <c r="H19" s="1">
        <f t="shared" si="2"/>
        <v>1869493099.4356167</v>
      </c>
      <c r="J19" s="1">
        <f t="shared" si="4"/>
        <v>1</v>
      </c>
      <c r="K19" s="1">
        <f t="shared" si="3"/>
        <v>0</v>
      </c>
    </row>
    <row r="21" spans="2:19" s="17" customFormat="1" x14ac:dyDescent="0.2"/>
    <row r="23" spans="2:19" x14ac:dyDescent="0.2">
      <c r="G23" s="10" t="s">
        <v>30</v>
      </c>
      <c r="H23" s="12" t="s">
        <v>31</v>
      </c>
      <c r="I23" s="13" t="s">
        <v>32</v>
      </c>
    </row>
    <row r="24" spans="2:19" x14ac:dyDescent="0.2">
      <c r="B24" s="3"/>
      <c r="C24" s="3"/>
      <c r="G24" t="s">
        <v>14</v>
      </c>
      <c r="H24" s="14">
        <f>L8</f>
        <v>1</v>
      </c>
      <c r="I24" s="15" t="e">
        <f>L14</f>
        <v>#NUM!</v>
      </c>
    </row>
    <row r="25" spans="2:19" x14ac:dyDescent="0.2">
      <c r="G25" t="s">
        <v>33</v>
      </c>
      <c r="H25" s="14">
        <f>L11</f>
        <v>15.999999999999991</v>
      </c>
      <c r="I25" s="15">
        <f>L17</f>
        <v>1</v>
      </c>
    </row>
    <row r="28" spans="2:19" x14ac:dyDescent="0.2">
      <c r="F28" t="s">
        <v>14</v>
      </c>
      <c r="G28" t="s">
        <v>31</v>
      </c>
      <c r="H28" s="13" t="s">
        <v>32</v>
      </c>
    </row>
    <row r="29" spans="2:19" x14ac:dyDescent="0.2">
      <c r="F29" t="s">
        <v>28</v>
      </c>
      <c r="G29" s="16" t="e">
        <f>P8</f>
        <v>#DIV/0!</v>
      </c>
      <c r="H29" s="15" t="e">
        <f>P14</f>
        <v>#NUM!</v>
      </c>
    </row>
    <row r="30" spans="2:19" x14ac:dyDescent="0.2">
      <c r="F30" t="s">
        <v>29</v>
      </c>
      <c r="G30" s="16" t="e">
        <f>Q8</f>
        <v>#DIV/0!</v>
      </c>
      <c r="H30" s="15" t="e">
        <f>Q14</f>
        <v>#NUM!</v>
      </c>
    </row>
    <row r="32" spans="2:19" x14ac:dyDescent="0.2">
      <c r="F32" t="s">
        <v>33</v>
      </c>
      <c r="H32" s="13"/>
    </row>
    <row r="33" spans="6:8" x14ac:dyDescent="0.2">
      <c r="F33" t="s">
        <v>28</v>
      </c>
      <c r="G33" s="16" t="e">
        <f>P11</f>
        <v>#DIV/0!</v>
      </c>
      <c r="H33" s="15">
        <f>P17</f>
        <v>0</v>
      </c>
    </row>
    <row r="34" spans="6:8" x14ac:dyDescent="0.2">
      <c r="F34" t="s">
        <v>29</v>
      </c>
      <c r="G34" s="16" t="e">
        <f>Q11</f>
        <v>#DIV/0!</v>
      </c>
      <c r="H34" s="15">
        <f>Q17</f>
        <v>0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percentage input</vt:lpstr>
      <vt:lpstr>ChIP-qPCR analysis</vt:lpstr>
      <vt:lpstr>ChIP-qPCR analysis_realworld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dcterms:created xsi:type="dcterms:W3CDTF">2020-03-13T15:14:09Z</dcterms:created>
  <dcterms:modified xsi:type="dcterms:W3CDTF">2020-10-10T15:30:47Z</dcterms:modified>
</cp:coreProperties>
</file>