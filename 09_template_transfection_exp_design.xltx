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0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silv\OneDrive\PhD\05laboratory\00protocols\_excel_templates\"/>
    </mc:Choice>
  </mc:AlternateContent>
  <xr:revisionPtr revIDLastSave="0" documentId="13_ncr:1_{2EA5C89D-DA0B-40D8-993B-7F880A64DDF3}" xr6:coauthVersionLast="45" xr6:coauthVersionMax="45" xr10:uidLastSave="{00000000-0000-0000-0000-000000000000}"/>
  <bookViews>
    <workbookView xWindow="4785" yWindow="1275" windowWidth="21600" windowHeight="13965" firstSheet="1" activeTab="1" xr2:uid="{F3CC31D8-6926-4A69-A017-707CD1B9FE09}"/>
  </bookViews>
  <sheets>
    <sheet name="transfection-example" sheetId="1" state="hidden" r:id="rId1"/>
    <sheet name="transfection-desig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8" i="2" l="1"/>
  <c r="C37" i="2"/>
  <c r="D41" i="2" s="1"/>
  <c r="C35" i="2"/>
  <c r="C23" i="2"/>
  <c r="C22" i="2"/>
  <c r="D26" i="2" s="1"/>
  <c r="C21" i="2"/>
  <c r="C20" i="2"/>
  <c r="C10" i="2"/>
  <c r="G9" i="2"/>
  <c r="F9" i="2"/>
  <c r="E9" i="2"/>
  <c r="D9" i="2"/>
  <c r="C9" i="2"/>
  <c r="G8" i="2"/>
  <c r="G10" i="2" s="1"/>
  <c r="F8" i="2"/>
  <c r="F10" i="2" s="1"/>
  <c r="E8" i="2"/>
  <c r="E10" i="2" s="1"/>
  <c r="D8" i="2"/>
  <c r="D10" i="2" s="1"/>
  <c r="C8" i="2"/>
  <c r="J5" i="2"/>
  <c r="E38" i="1"/>
  <c r="E36" i="1" s="1"/>
  <c r="D38" i="1"/>
  <c r="D36" i="1" s="1"/>
  <c r="C38" i="1"/>
  <c r="E37" i="1"/>
  <c r="D37" i="1"/>
  <c r="C37" i="1"/>
  <c r="D41" i="1" s="1"/>
  <c r="E35" i="1"/>
  <c r="D35" i="1"/>
  <c r="C35" i="1"/>
  <c r="D23" i="1"/>
  <c r="E23" i="1"/>
  <c r="C23" i="1"/>
  <c r="C21" i="1" s="1"/>
  <c r="C22" i="1"/>
  <c r="D22" i="1"/>
  <c r="E22" i="1"/>
  <c r="D20" i="1"/>
  <c r="D21" i="1" s="1"/>
  <c r="E20" i="1"/>
  <c r="C20" i="1"/>
  <c r="J5" i="1"/>
  <c r="G8" i="1"/>
  <c r="G9" i="1"/>
  <c r="E8" i="1"/>
  <c r="F8" i="1"/>
  <c r="E9" i="1"/>
  <c r="F9" i="1"/>
  <c r="D8" i="1"/>
  <c r="D9" i="1"/>
  <c r="C9" i="1"/>
  <c r="C8" i="1"/>
  <c r="C36" i="2" l="1"/>
  <c r="D42" i="2"/>
  <c r="D27" i="2"/>
  <c r="E21" i="1"/>
  <c r="D42" i="1"/>
  <c r="C36" i="1"/>
  <c r="D27" i="1"/>
  <c r="D26" i="1"/>
  <c r="D10" i="1"/>
  <c r="F10" i="1"/>
  <c r="G10" i="1"/>
  <c r="E10" i="1"/>
  <c r="C1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tc={2FC7CFF4-FAAC-4137-9607-B371017F4267}</author>
    <author>tc={A0B013B7-98EF-42CE-9F1F-BB8400374C0B}</author>
    <author>tc={F654A681-08EE-40D7-A996-091409797EC6}</author>
  </authors>
  <commentList>
    <comment ref="B3" authorId="0" shapeId="0" xr:uid="{2FC7CFF4-FAAC-4137-9607-B371017F4267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of Lipofectamine 2000 for DNA
3.2 µL for 1 µg</t>
      </text>
    </comment>
    <comment ref="B16" authorId="1" shapeId="0" xr:uid="{A0B013B7-98EF-42CE-9F1F-BB8400374C0B}">
      <text>
        <t>[Threaded comment]
Your version of Excel allows you to read this threaded comment; however, any edits to it will get removed if the file is opened in a newer version of Excel. Learn more: https://go.microsoft.com/fwlink/?linkid=870924
Comment:
    concentration of the plasmid expressed in ng/µL</t>
      </text>
    </comment>
    <comment ref="B31" authorId="2" shapeId="0" xr:uid="{F654A681-08EE-40D7-A996-091409797EC6}">
      <text>
        <t>[Threaded comment]
Your version of Excel allows you to read this threaded comment; however, any edits to it will get removed if the file is opened in a newer version of Excel. Learn more: https://go.microsoft.com/fwlink/?linkid=870924
Comment:
    concentration of the plasmid expressed in ng/µL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tc={958DD90C-0A55-4997-A757-5DFF8887194F}</author>
    <author>tc={991FECCA-C7C6-4020-BDFC-AA0AE5C890E1}</author>
    <author>tc={D0E0A99C-7C33-427B-AEC4-E2FA0D73B078}</author>
  </authors>
  <commentList>
    <comment ref="B3" authorId="0" shapeId="0" xr:uid="{958DD90C-0A55-4997-A757-5DFF8887194F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of Lipofectamine 2000 for DNA
3.2 µL for 1 µg</t>
      </text>
    </comment>
    <comment ref="B16" authorId="1" shapeId="0" xr:uid="{991FECCA-C7C6-4020-BDFC-AA0AE5C890E1}">
      <text>
        <t>[Threaded comment]
Your version of Excel allows you to read this threaded comment; however, any edits to it will get removed if the file is opened in a newer version of Excel. Learn more: https://go.microsoft.com/fwlink/?linkid=870924
Comment:
    concentration of the plasmid expressed in ng/µL</t>
      </text>
    </comment>
    <comment ref="B29" authorId="2" shapeId="0" xr:uid="{D0E0A99C-7C33-427B-AEC4-E2FA0D73B078}">
      <text>
        <t>[Threaded comment]
Your version of Excel allows you to read this threaded comment; however, any edits to it will get removed if the file is opened in a newer version of Excel. Learn more: https://go.microsoft.com/fwlink/?linkid=870924
Comment:
    copy this box as many times as needed</t>
      </text>
    </comment>
  </commentList>
</comments>
</file>

<file path=xl/sharedStrings.xml><?xml version="1.0" encoding="utf-8"?>
<sst xmlns="http://schemas.openxmlformats.org/spreadsheetml/2006/main" count="120" uniqueCount="38">
  <si>
    <t>Lipo solution</t>
  </si>
  <si>
    <t>DNA solution</t>
  </si>
  <si>
    <t>excess_factor</t>
  </si>
  <si>
    <t>lipofectamine/DNA</t>
  </si>
  <si>
    <t>plasmid-1</t>
  </si>
  <si>
    <t>plasmid-2</t>
  </si>
  <si>
    <t>plasmid-3</t>
  </si>
  <si>
    <t>ng/µL</t>
  </si>
  <si>
    <t>DNA/well (ng)</t>
  </si>
  <si>
    <t>plasmid-#</t>
  </si>
  <si>
    <t>24-well</t>
  </si>
  <si>
    <t>12-well</t>
  </si>
  <si>
    <t>6-well</t>
  </si>
  <si>
    <t>96-well</t>
  </si>
  <si>
    <t>Total volume µL</t>
  </si>
  <si>
    <t>other</t>
  </si>
  <si>
    <t>no. wells</t>
  </si>
  <si>
    <t>plasmid</t>
  </si>
  <si>
    <t>quick calc</t>
  </si>
  <si>
    <t>area</t>
  </si>
  <si>
    <t>cm^2</t>
  </si>
  <si>
    <t>ng of DNA</t>
  </si>
  <si>
    <t>per well</t>
  </si>
  <si>
    <t>std. ng of DNA</t>
  </si>
  <si>
    <t>std. µL for transfection</t>
  </si>
  <si>
    <t>µL</t>
  </si>
  <si>
    <t>V plasmid (µL)</t>
  </si>
  <si>
    <t>V lipofectamine (µL)</t>
  </si>
  <si>
    <t>Volume per well (µL)</t>
  </si>
  <si>
    <t>Mix(A)</t>
  </si>
  <si>
    <t>Lipofectamine</t>
  </si>
  <si>
    <t>plain medium</t>
  </si>
  <si>
    <t>preparation-01</t>
  </si>
  <si>
    <t>Mix(B)</t>
  </si>
  <si>
    <t>V plain medium per mix (µL)</t>
  </si>
  <si>
    <t>preparation-00</t>
  </si>
  <si>
    <t>V plain medium for plasmid (µL)</t>
  </si>
  <si>
    <t>consider a "preparation-##" for each quantity of DNA that you need to transfect, because its better to prepare each pair of Mix(A)-Mix(B#)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</si>
</sst>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Helvetica LT Std"/>
      <family val="2"/>
    </font>
    <font>
      <sz val="8"/>
      <name val="Helvetica LT Std"/>
      <family val="2"/>
    </font>
    <font>
      <b/>
      <sz val="11"/>
      <color theme="1"/>
      <name val="Helvetica LT Std"/>
      <family val="2"/>
    </font>
    <font>
      <sz val="9"/>
      <color indexed="81"/>
      <name val="Tahoma"/>
      <charset val="1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0" fontId="2" fillId="0" borderId="0" xfId="0" applyFont="1"/>
    <xf numFmtId="0" fontId="0" fillId="2" borderId="1" xfId="0" applyFill="1" applyBorder="1"/>
    <xf numFmtId="0" fontId="0" fillId="0" borderId="0" xfId="0" applyFont="1"/>
    <xf numFmtId="0" fontId="0" fillId="3" borderId="0" xfId="0" applyFill="1" applyAlignment="1">
      <alignment horizontal="center"/>
    </xf>
    <xf numFmtId="0" fontId="0" fillId="0" borderId="2" xfId="0" applyBorder="1"/>
    <xf numFmtId="0" fontId="2" fillId="0" borderId="3" xfId="0" applyFon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2" borderId="0" xfId="0" applyFill="1" applyBorder="1"/>
    <xf numFmtId="0" fontId="0" fillId="0" borderId="5" xfId="0" applyBorder="1" applyAlignment="1">
      <alignment horizontal="center"/>
    </xf>
    <xf numFmtId="2" fontId="0" fillId="0" borderId="0" xfId="0" applyNumberFormat="1" applyBorder="1"/>
    <xf numFmtId="0" fontId="0" fillId="0" borderId="0" xfId="0" applyFont="1" applyBorder="1"/>
    <xf numFmtId="0" fontId="0" fillId="0" borderId="0" xfId="0" applyBorder="1" applyAlignment="1">
      <alignment horizontal="center"/>
    </xf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Leonardo Mendes-Silva" id="{51216E23-2EC7-4182-991F-FE2DFB0D4CFC}" userId="Leonardo Mendes-Silva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" dT="2020-10-10T13:50:53.30" personId="{51216E23-2EC7-4182-991F-FE2DFB0D4CFC}" id="{2FC7CFF4-FAAC-4137-9607-B371017F4267}">
    <text>ratio of Lipofectamine 2000 for DNA
3.2 µL for 1 µg</text>
  </threadedComment>
  <threadedComment ref="B16" dT="2020-10-10T13:54:18.23" personId="{51216E23-2EC7-4182-991F-FE2DFB0D4CFC}" id="{A0B013B7-98EF-42CE-9F1F-BB8400374C0B}">
    <text>concentration of the plasmid expressed in ng/µL</text>
  </threadedComment>
  <threadedComment ref="B31" dT="2020-10-10T13:54:18.23" personId="{51216E23-2EC7-4182-991F-FE2DFB0D4CFC}" id="{F654A681-08EE-40D7-A996-091409797EC6}">
    <text>concentration of the plasmid expressed in ng/µL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" dT="2020-10-10T13:50:53.30" personId="{51216E23-2EC7-4182-991F-FE2DFB0D4CFC}" id="{958DD90C-0A55-4997-A757-5DFF8887194F}">
    <text>ratio of Lipofectamine 2000 for DNA
3.2 µL for 1 µg</text>
  </threadedComment>
  <threadedComment ref="B16" dT="2020-10-10T13:54:18.23" personId="{51216E23-2EC7-4182-991F-FE2DFB0D4CFC}" id="{991FECCA-C7C6-4020-BDFC-AA0AE5C890E1}">
    <text>concentration of the plasmid expressed in ng/µL</text>
  </threadedComment>
  <threadedComment ref="B29" dT="2020-10-10T15:06:34.30" personId="{51216E23-2EC7-4182-991F-FE2DFB0D4CFC}" id="{D0E0A99C-7C33-427B-AEC4-E2FA0D73B078}">
    <text>copy this box as many times as needed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4E23F-D8F5-4267-BCE5-C6AEA0CCB094}">
  <dimension ref="A3:L42"/>
  <sheetViews>
    <sheetView zoomScale="85" zoomScaleNormal="85" workbookViewId="0">
      <selection activeCell="E18" sqref="E18"/>
    </sheetView>
  </sheetViews>
  <sheetFormatPr defaultRowHeight="14.25" x14ac:dyDescent="0.2"/>
  <cols>
    <col min="1" max="1" width="12.25" bestFit="1" customWidth="1"/>
    <col min="2" max="2" width="27" bestFit="1" customWidth="1"/>
    <col min="3" max="3" width="17.375" bestFit="1" customWidth="1"/>
    <col min="4" max="4" width="12.375" bestFit="1" customWidth="1"/>
    <col min="5" max="5" width="12.5" bestFit="1" customWidth="1"/>
    <col min="6" max="6" width="12" customWidth="1"/>
    <col min="8" max="8" width="12.375" bestFit="1" customWidth="1"/>
  </cols>
  <sheetData>
    <row r="3" spans="2:12" x14ac:dyDescent="0.2">
      <c r="B3" t="s">
        <v>3</v>
      </c>
      <c r="C3">
        <v>3.2</v>
      </c>
      <c r="E3" t="s">
        <v>2</v>
      </c>
      <c r="F3">
        <v>1.1000000000000001</v>
      </c>
      <c r="I3" s="4" t="s">
        <v>18</v>
      </c>
      <c r="J3" s="4"/>
      <c r="K3" s="4"/>
    </row>
    <row r="4" spans="2:12" x14ac:dyDescent="0.2">
      <c r="I4" t="s">
        <v>19</v>
      </c>
      <c r="J4" s="5">
        <v>4</v>
      </c>
      <c r="K4" t="s">
        <v>20</v>
      </c>
    </row>
    <row r="5" spans="2:12" x14ac:dyDescent="0.2">
      <c r="C5" t="s">
        <v>12</v>
      </c>
      <c r="D5" t="s">
        <v>11</v>
      </c>
      <c r="E5" t="s">
        <v>10</v>
      </c>
      <c r="F5" t="s">
        <v>13</v>
      </c>
      <c r="G5" t="s">
        <v>15</v>
      </c>
      <c r="I5" t="s">
        <v>21</v>
      </c>
      <c r="J5">
        <f>J4*(2500/9.5)</f>
        <v>1052.6315789473683</v>
      </c>
      <c r="K5" t="s">
        <v>22</v>
      </c>
    </row>
    <row r="6" spans="2:12" x14ac:dyDescent="0.2">
      <c r="B6" t="s">
        <v>23</v>
      </c>
      <c r="C6">
        <v>2500</v>
      </c>
      <c r="D6">
        <v>1000</v>
      </c>
      <c r="E6">
        <v>500</v>
      </c>
      <c r="F6">
        <v>100</v>
      </c>
    </row>
    <row r="7" spans="2:12" x14ac:dyDescent="0.2">
      <c r="B7" t="s">
        <v>24</v>
      </c>
      <c r="C7" s="5">
        <v>800</v>
      </c>
      <c r="D7" s="5">
        <v>400</v>
      </c>
      <c r="E7" s="5">
        <v>250</v>
      </c>
      <c r="F7" s="5">
        <v>100</v>
      </c>
      <c r="G7" s="5"/>
    </row>
    <row r="8" spans="2:12" x14ac:dyDescent="0.2">
      <c r="B8" t="s">
        <v>0</v>
      </c>
      <c r="C8">
        <f>C$7/2*$F$3</f>
        <v>440.00000000000006</v>
      </c>
      <c r="D8">
        <f>D$7/2*$F$3</f>
        <v>220.00000000000003</v>
      </c>
      <c r="E8">
        <f>E$7/2*$F$3</f>
        <v>137.5</v>
      </c>
      <c r="F8">
        <f>F$7/2*$F$3</f>
        <v>55.000000000000007</v>
      </c>
      <c r="G8">
        <f>G$7/2*$F$3</f>
        <v>0</v>
      </c>
    </row>
    <row r="9" spans="2:12" x14ac:dyDescent="0.2">
      <c r="B9" t="s">
        <v>1</v>
      </c>
      <c r="C9">
        <f>C$7/2*$F$3</f>
        <v>440.00000000000006</v>
      </c>
      <c r="D9">
        <f>D$7/2*$F$3</f>
        <v>220.00000000000003</v>
      </c>
      <c r="E9">
        <f>E$7/2*$F$3</f>
        <v>137.5</v>
      </c>
      <c r="F9">
        <f>F$7/2*$F$3</f>
        <v>55.000000000000007</v>
      </c>
      <c r="G9">
        <f>G$7/2*$F$3</f>
        <v>0</v>
      </c>
    </row>
    <row r="10" spans="2:12" x14ac:dyDescent="0.2">
      <c r="B10" t="s">
        <v>14</v>
      </c>
      <c r="C10">
        <f>SUM(C8:C9)</f>
        <v>880.00000000000011</v>
      </c>
      <c r="D10">
        <f>SUM(D8:D9)</f>
        <v>440.00000000000006</v>
      </c>
      <c r="E10">
        <f t="shared" ref="E10:G10" si="0">SUM(E8:E9)</f>
        <v>275</v>
      </c>
      <c r="F10">
        <f t="shared" si="0"/>
        <v>110.00000000000001</v>
      </c>
      <c r="G10">
        <f t="shared" si="0"/>
        <v>0</v>
      </c>
    </row>
    <row r="12" spans="2:12" x14ac:dyDescent="0.2">
      <c r="B12" s="9" t="s">
        <v>37</v>
      </c>
      <c r="C12" s="9"/>
      <c r="D12" s="9"/>
      <c r="E12" s="9"/>
      <c r="F12" s="9"/>
      <c r="G12" s="9"/>
      <c r="H12" s="9"/>
      <c r="I12" s="9"/>
      <c r="J12" s="9"/>
      <c r="K12" s="9"/>
      <c r="L12" s="9"/>
    </row>
    <row r="14" spans="2:12" x14ac:dyDescent="0.2">
      <c r="B14" s="6" t="s">
        <v>32</v>
      </c>
    </row>
    <row r="15" spans="2:12" x14ac:dyDescent="0.2">
      <c r="B15" t="s">
        <v>17</v>
      </c>
      <c r="C15" t="s">
        <v>4</v>
      </c>
      <c r="D15" t="s">
        <v>5</v>
      </c>
      <c r="E15" t="s">
        <v>6</v>
      </c>
      <c r="F15" t="s">
        <v>9</v>
      </c>
      <c r="L15" s="2"/>
    </row>
    <row r="16" spans="2:12" x14ac:dyDescent="0.2">
      <c r="B16" t="s">
        <v>7</v>
      </c>
      <c r="C16" s="5">
        <v>273</v>
      </c>
      <c r="D16" s="5">
        <v>280</v>
      </c>
      <c r="E16" s="5">
        <v>199</v>
      </c>
      <c r="F16" s="5"/>
      <c r="G16" s="5"/>
      <c r="H16" s="5"/>
      <c r="I16" s="5"/>
      <c r="J16" s="5"/>
      <c r="K16" s="5"/>
      <c r="L16" s="7"/>
    </row>
    <row r="17" spans="1:12" x14ac:dyDescent="0.2">
      <c r="B17" t="s">
        <v>16</v>
      </c>
      <c r="C17" s="5">
        <v>2</v>
      </c>
      <c r="D17" s="5">
        <v>1</v>
      </c>
      <c r="E17" s="5">
        <v>1</v>
      </c>
      <c r="F17" s="5"/>
      <c r="G17" s="5"/>
      <c r="H17" s="5"/>
      <c r="I17" s="5"/>
      <c r="J17" s="5"/>
      <c r="K17" s="5"/>
      <c r="L17" s="7"/>
    </row>
    <row r="18" spans="1:12" x14ac:dyDescent="0.2">
      <c r="B18" t="s">
        <v>28</v>
      </c>
      <c r="C18" s="5">
        <v>800</v>
      </c>
      <c r="D18" s="5">
        <v>800</v>
      </c>
      <c r="E18" s="5">
        <v>800</v>
      </c>
      <c r="F18" s="5"/>
      <c r="G18" s="5"/>
      <c r="H18" s="5"/>
      <c r="I18" s="5"/>
      <c r="J18" s="5"/>
      <c r="K18" s="5"/>
      <c r="L18" s="7"/>
    </row>
    <row r="19" spans="1:12" x14ac:dyDescent="0.2">
      <c r="B19" t="s">
        <v>8</v>
      </c>
      <c r="C19" s="5">
        <v>500</v>
      </c>
      <c r="D19" s="5">
        <v>500</v>
      </c>
      <c r="E19" s="5">
        <v>500</v>
      </c>
      <c r="F19" s="5"/>
      <c r="G19" s="5"/>
      <c r="H19" s="5"/>
      <c r="I19" s="5"/>
      <c r="J19" s="5"/>
      <c r="K19" s="5"/>
      <c r="L19" s="7"/>
    </row>
    <row r="20" spans="1:12" x14ac:dyDescent="0.2">
      <c r="A20" s="4" t="s">
        <v>33</v>
      </c>
      <c r="B20" t="s">
        <v>26</v>
      </c>
      <c r="C20" s="1">
        <f>((C19*$F$3)*C17)/C16</f>
        <v>4.0293040293040292</v>
      </c>
      <c r="D20" s="1">
        <f t="shared" ref="D20:E20" si="1">((D19*$F$3)*D17)/D16</f>
        <v>1.9642857142857142</v>
      </c>
      <c r="E20" s="1">
        <f t="shared" si="1"/>
        <v>2.7638190954773871</v>
      </c>
      <c r="L20" s="2"/>
    </row>
    <row r="21" spans="1:12" x14ac:dyDescent="0.2">
      <c r="A21" s="4"/>
      <c r="B21" t="s">
        <v>36</v>
      </c>
      <c r="C21" s="1">
        <f>C23-C20</f>
        <v>875.97069597069606</v>
      </c>
      <c r="D21" s="1">
        <f t="shared" ref="D21:E21" si="2">D23-D20</f>
        <v>438.03571428571433</v>
      </c>
      <c r="E21" s="1">
        <f t="shared" si="2"/>
        <v>437.23618090452266</v>
      </c>
      <c r="L21" s="2"/>
    </row>
    <row r="22" spans="1:12" x14ac:dyDescent="0.2">
      <c r="A22" s="4" t="s">
        <v>29</v>
      </c>
      <c r="B22" t="s">
        <v>27</v>
      </c>
      <c r="C22" s="1">
        <f>(C17*$C$3*(C19/1000))*$F$3</f>
        <v>3.5200000000000005</v>
      </c>
      <c r="D22" s="1">
        <f>(D17*$C$3*(D19/1000))*$F$3</f>
        <v>1.7600000000000002</v>
      </c>
      <c r="E22" s="1">
        <f>(E17*$C$3*(E19/1000))*$F$3</f>
        <v>1.7600000000000002</v>
      </c>
      <c r="L22" s="2"/>
    </row>
    <row r="23" spans="1:12" x14ac:dyDescent="0.2">
      <c r="A23" s="4"/>
      <c r="B23" t="s">
        <v>34</v>
      </c>
      <c r="C23">
        <f>((C18/2*$F$3))*C17</f>
        <v>880.00000000000011</v>
      </c>
      <c r="D23">
        <f t="shared" ref="D23:E23" si="3">((D18/2*$F$3))*D17</f>
        <v>440.00000000000006</v>
      </c>
      <c r="E23">
        <f t="shared" si="3"/>
        <v>440.00000000000006</v>
      </c>
    </row>
    <row r="25" spans="1:12" x14ac:dyDescent="0.2">
      <c r="C25" t="s">
        <v>29</v>
      </c>
    </row>
    <row r="26" spans="1:12" x14ac:dyDescent="0.2">
      <c r="C26" t="s">
        <v>30</v>
      </c>
      <c r="D26" s="8">
        <f>SUM(C22:L22)</f>
        <v>7.0400000000000009</v>
      </c>
      <c r="E26" t="s">
        <v>25</v>
      </c>
      <c r="G26" s="3"/>
    </row>
    <row r="27" spans="1:12" x14ac:dyDescent="0.2">
      <c r="C27" t="s">
        <v>31</v>
      </c>
      <c r="D27">
        <f>SUM(C23:L23)</f>
        <v>1760.0000000000002</v>
      </c>
      <c r="E27" t="s">
        <v>25</v>
      </c>
      <c r="G27" s="3"/>
    </row>
    <row r="29" spans="1:12" x14ac:dyDescent="0.2">
      <c r="B29" s="6" t="s">
        <v>35</v>
      </c>
    </row>
    <row r="30" spans="1:12" x14ac:dyDescent="0.2">
      <c r="B30" t="s">
        <v>17</v>
      </c>
      <c r="C30" t="s">
        <v>4</v>
      </c>
      <c r="D30" t="s">
        <v>5</v>
      </c>
      <c r="E30" t="s">
        <v>6</v>
      </c>
      <c r="F30" t="s">
        <v>9</v>
      </c>
      <c r="L30" s="2"/>
    </row>
    <row r="31" spans="1:12" x14ac:dyDescent="0.2">
      <c r="B31" t="s">
        <v>7</v>
      </c>
      <c r="C31" s="5">
        <v>273</v>
      </c>
      <c r="D31" s="5">
        <v>280</v>
      </c>
      <c r="E31" s="5">
        <v>199</v>
      </c>
      <c r="F31" s="5"/>
      <c r="G31" s="5"/>
      <c r="H31" s="5"/>
      <c r="I31" s="5"/>
      <c r="J31" s="5"/>
      <c r="K31" s="5"/>
      <c r="L31" s="7"/>
    </row>
    <row r="32" spans="1:12" x14ac:dyDescent="0.2">
      <c r="B32" t="s">
        <v>16</v>
      </c>
      <c r="C32" s="5">
        <v>2</v>
      </c>
      <c r="D32" s="5">
        <v>1</v>
      </c>
      <c r="E32" s="5">
        <v>1</v>
      </c>
      <c r="F32" s="5"/>
      <c r="G32" s="5"/>
      <c r="H32" s="5"/>
      <c r="I32" s="5"/>
      <c r="J32" s="5"/>
      <c r="K32" s="5"/>
      <c r="L32" s="7"/>
    </row>
    <row r="33" spans="1:12" x14ac:dyDescent="0.2">
      <c r="B33" t="s">
        <v>28</v>
      </c>
      <c r="C33" s="5">
        <v>200</v>
      </c>
      <c r="D33" s="5">
        <v>200</v>
      </c>
      <c r="E33" s="5">
        <v>200</v>
      </c>
      <c r="F33" s="5"/>
      <c r="G33" s="5"/>
      <c r="H33" s="5"/>
      <c r="I33" s="5"/>
      <c r="J33" s="5"/>
      <c r="K33" s="5"/>
      <c r="L33" s="7"/>
    </row>
    <row r="34" spans="1:12" x14ac:dyDescent="0.2">
      <c r="B34" t="s">
        <v>8</v>
      </c>
      <c r="C34" s="5">
        <v>500</v>
      </c>
      <c r="D34" s="5">
        <v>500</v>
      </c>
      <c r="E34" s="5">
        <v>500</v>
      </c>
      <c r="F34" s="5"/>
      <c r="G34" s="5"/>
      <c r="H34" s="5"/>
      <c r="I34" s="5"/>
      <c r="J34" s="5"/>
      <c r="K34" s="5"/>
      <c r="L34" s="7"/>
    </row>
    <row r="35" spans="1:12" x14ac:dyDescent="0.2">
      <c r="A35" s="4" t="s">
        <v>33</v>
      </c>
      <c r="B35" t="s">
        <v>26</v>
      </c>
      <c r="C35" s="1">
        <f>((C34*$F$3)*C32)/C31</f>
        <v>4.0293040293040292</v>
      </c>
      <c r="D35" s="1">
        <f t="shared" ref="D35" si="4">((D34*$F$3)*D32)/D31</f>
        <v>1.9642857142857142</v>
      </c>
      <c r="E35" s="1">
        <f t="shared" ref="E35" si="5">((E34*$F$3)*E32)/E31</f>
        <v>2.7638190954773871</v>
      </c>
      <c r="L35" s="2"/>
    </row>
    <row r="36" spans="1:12" x14ac:dyDescent="0.2">
      <c r="A36" s="4"/>
      <c r="B36" t="s">
        <v>36</v>
      </c>
      <c r="C36" s="1">
        <f>C38-C35</f>
        <v>215.970695970696</v>
      </c>
      <c r="D36" s="1">
        <f t="shared" ref="D36" si="6">D38-D35</f>
        <v>108.03571428571431</v>
      </c>
      <c r="E36" s="1">
        <f t="shared" ref="E36" si="7">E38-E35</f>
        <v>107.23618090452263</v>
      </c>
      <c r="L36" s="2"/>
    </row>
    <row r="37" spans="1:12" x14ac:dyDescent="0.2">
      <c r="A37" s="4" t="s">
        <v>29</v>
      </c>
      <c r="B37" t="s">
        <v>27</v>
      </c>
      <c r="C37" s="1">
        <f>(C32*$C$3*(C34/1000))*$F$3</f>
        <v>3.5200000000000005</v>
      </c>
      <c r="D37" s="1">
        <f>(D32*$C$3*(D34/1000))*$F$3</f>
        <v>1.7600000000000002</v>
      </c>
      <c r="E37" s="1">
        <f>(E32*$C$3*(E34/1000))*$F$3</f>
        <v>1.7600000000000002</v>
      </c>
      <c r="L37" s="2"/>
    </row>
    <row r="38" spans="1:12" x14ac:dyDescent="0.2">
      <c r="A38" s="4"/>
      <c r="B38" t="s">
        <v>34</v>
      </c>
      <c r="C38">
        <f>((C33/2*$F$3))*C32</f>
        <v>220.00000000000003</v>
      </c>
      <c r="D38">
        <f t="shared" ref="D38:E38" si="8">((D33/2*$F$3))*D32</f>
        <v>110.00000000000001</v>
      </c>
      <c r="E38">
        <f t="shared" si="8"/>
        <v>110.00000000000001</v>
      </c>
    </row>
    <row r="40" spans="1:12" x14ac:dyDescent="0.2">
      <c r="C40" t="s">
        <v>29</v>
      </c>
    </row>
    <row r="41" spans="1:12" x14ac:dyDescent="0.2">
      <c r="C41" t="s">
        <v>30</v>
      </c>
      <c r="D41" s="8">
        <f>SUM(C37:L37)</f>
        <v>7.0400000000000009</v>
      </c>
      <c r="E41" t="s">
        <v>25</v>
      </c>
      <c r="G41" s="3"/>
    </row>
    <row r="42" spans="1:12" x14ac:dyDescent="0.2">
      <c r="C42" t="s">
        <v>31</v>
      </c>
      <c r="D42">
        <f>SUM(C38:L38)</f>
        <v>440.00000000000006</v>
      </c>
      <c r="E42" t="s">
        <v>25</v>
      </c>
      <c r="G42" s="3"/>
    </row>
  </sheetData>
  <mergeCells count="6">
    <mergeCell ref="A37:A38"/>
    <mergeCell ref="I3:K3"/>
    <mergeCell ref="A20:A21"/>
    <mergeCell ref="A22:A23"/>
    <mergeCell ref="B12:L12"/>
    <mergeCell ref="A35:A36"/>
  </mergeCells>
  <phoneticPr fontId="1" type="noConversion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3063A-5859-4F2E-9988-74AB93D340CA}">
  <dimension ref="A3:L43"/>
  <sheetViews>
    <sheetView tabSelected="1" topLeftCell="A4" zoomScale="85" zoomScaleNormal="85" workbookViewId="0">
      <selection activeCell="C16" sqref="C16:C18"/>
    </sheetView>
  </sheetViews>
  <sheetFormatPr defaultRowHeight="14.25" x14ac:dyDescent="0.2"/>
  <cols>
    <col min="1" max="1" width="12.25" bestFit="1" customWidth="1"/>
    <col min="2" max="2" width="27" bestFit="1" customWidth="1"/>
    <col min="3" max="3" width="17.375" bestFit="1" customWidth="1"/>
    <col min="4" max="4" width="12.375" bestFit="1" customWidth="1"/>
    <col min="5" max="5" width="12.5" bestFit="1" customWidth="1"/>
    <col min="6" max="6" width="12" customWidth="1"/>
    <col min="8" max="8" width="12.375" bestFit="1" customWidth="1"/>
  </cols>
  <sheetData>
    <row r="3" spans="2:12" x14ac:dyDescent="0.2">
      <c r="B3" t="s">
        <v>3</v>
      </c>
      <c r="C3">
        <v>3.2</v>
      </c>
      <c r="E3" t="s">
        <v>2</v>
      </c>
      <c r="F3">
        <v>1.1000000000000001</v>
      </c>
      <c r="I3" s="4" t="s">
        <v>18</v>
      </c>
      <c r="J3" s="4"/>
      <c r="K3" s="4"/>
    </row>
    <row r="4" spans="2:12" x14ac:dyDescent="0.2">
      <c r="I4" t="s">
        <v>19</v>
      </c>
      <c r="J4" s="5">
        <v>4</v>
      </c>
      <c r="K4" t="s">
        <v>20</v>
      </c>
    </row>
    <row r="5" spans="2:12" x14ac:dyDescent="0.2">
      <c r="C5" t="s">
        <v>12</v>
      </c>
      <c r="D5" t="s">
        <v>11</v>
      </c>
      <c r="E5" t="s">
        <v>10</v>
      </c>
      <c r="F5" t="s">
        <v>13</v>
      </c>
      <c r="G5" t="s">
        <v>15</v>
      </c>
      <c r="I5" t="s">
        <v>21</v>
      </c>
      <c r="J5">
        <f>J4*(2500/9.5)</f>
        <v>1052.6315789473683</v>
      </c>
      <c r="K5" t="s">
        <v>22</v>
      </c>
    </row>
    <row r="6" spans="2:12" x14ac:dyDescent="0.2">
      <c r="B6" t="s">
        <v>23</v>
      </c>
      <c r="C6">
        <v>2500</v>
      </c>
      <c r="D6">
        <v>1000</v>
      </c>
      <c r="E6">
        <v>500</v>
      </c>
      <c r="F6">
        <v>100</v>
      </c>
    </row>
    <row r="7" spans="2:12" x14ac:dyDescent="0.2">
      <c r="B7" t="s">
        <v>24</v>
      </c>
      <c r="C7" s="5">
        <v>800</v>
      </c>
      <c r="D7" s="5">
        <v>400</v>
      </c>
      <c r="E7" s="5">
        <v>250</v>
      </c>
      <c r="F7" s="5">
        <v>100</v>
      </c>
      <c r="G7" s="5"/>
    </row>
    <row r="8" spans="2:12" x14ac:dyDescent="0.2">
      <c r="B8" t="s">
        <v>0</v>
      </c>
      <c r="C8">
        <f>C$7/2*$F$3</f>
        <v>440.00000000000006</v>
      </c>
      <c r="D8">
        <f>D$7/2*$F$3</f>
        <v>220.00000000000003</v>
      </c>
      <c r="E8">
        <f>E$7/2*$F$3</f>
        <v>137.5</v>
      </c>
      <c r="F8">
        <f>F$7/2*$F$3</f>
        <v>55.000000000000007</v>
      </c>
      <c r="G8">
        <f>G$7/2*$F$3</f>
        <v>0</v>
      </c>
    </row>
    <row r="9" spans="2:12" x14ac:dyDescent="0.2">
      <c r="B9" t="s">
        <v>1</v>
      </c>
      <c r="C9">
        <f>C$7/2*$F$3</f>
        <v>440.00000000000006</v>
      </c>
      <c r="D9">
        <f>D$7/2*$F$3</f>
        <v>220.00000000000003</v>
      </c>
      <c r="E9">
        <f>E$7/2*$F$3</f>
        <v>137.5</v>
      </c>
      <c r="F9">
        <f>F$7/2*$F$3</f>
        <v>55.000000000000007</v>
      </c>
      <c r="G9">
        <f>G$7/2*$F$3</f>
        <v>0</v>
      </c>
    </row>
    <row r="10" spans="2:12" x14ac:dyDescent="0.2">
      <c r="B10" t="s">
        <v>14</v>
      </c>
      <c r="C10">
        <f>SUM(C8:C9)</f>
        <v>880.00000000000011</v>
      </c>
      <c r="D10">
        <f>SUM(D8:D9)</f>
        <v>440.00000000000006</v>
      </c>
      <c r="E10">
        <f t="shared" ref="E10:G10" si="0">SUM(E8:E9)</f>
        <v>275</v>
      </c>
      <c r="F10">
        <f t="shared" si="0"/>
        <v>110.00000000000001</v>
      </c>
      <c r="G10">
        <f t="shared" si="0"/>
        <v>0</v>
      </c>
    </row>
    <row r="12" spans="2:12" x14ac:dyDescent="0.2">
      <c r="B12" s="9" t="s">
        <v>37</v>
      </c>
      <c r="C12" s="9"/>
      <c r="D12" s="9"/>
      <c r="E12" s="9"/>
      <c r="F12" s="9"/>
      <c r="G12" s="9"/>
      <c r="H12" s="9"/>
      <c r="I12" s="9"/>
      <c r="J12" s="9"/>
      <c r="K12" s="9"/>
      <c r="L12" s="9"/>
    </row>
    <row r="14" spans="2:12" x14ac:dyDescent="0.2">
      <c r="B14" s="6" t="s">
        <v>32</v>
      </c>
    </row>
    <row r="15" spans="2:12" x14ac:dyDescent="0.2">
      <c r="B15" t="s">
        <v>17</v>
      </c>
      <c r="C15" t="s">
        <v>4</v>
      </c>
      <c r="D15" t="s">
        <v>5</v>
      </c>
      <c r="E15" t="s">
        <v>6</v>
      </c>
      <c r="F15" t="s">
        <v>9</v>
      </c>
      <c r="L15" s="2"/>
    </row>
    <row r="16" spans="2:12" x14ac:dyDescent="0.2">
      <c r="B16" t="s">
        <v>7</v>
      </c>
      <c r="C16" s="5"/>
      <c r="D16" s="5"/>
      <c r="E16" s="5"/>
      <c r="F16" s="5"/>
      <c r="G16" s="5"/>
      <c r="H16" s="5"/>
      <c r="I16" s="5"/>
      <c r="J16" s="5"/>
      <c r="K16" s="5"/>
      <c r="L16" s="7"/>
    </row>
    <row r="17" spans="1:12" x14ac:dyDescent="0.2">
      <c r="B17" t="s">
        <v>16</v>
      </c>
      <c r="C17" s="5"/>
      <c r="D17" s="5"/>
      <c r="E17" s="5"/>
      <c r="F17" s="5"/>
      <c r="G17" s="5"/>
      <c r="H17" s="5"/>
      <c r="I17" s="5"/>
      <c r="J17" s="5"/>
      <c r="K17" s="5"/>
      <c r="L17" s="7"/>
    </row>
    <row r="18" spans="1:12" x14ac:dyDescent="0.2">
      <c r="B18" t="s">
        <v>28</v>
      </c>
      <c r="C18" s="5"/>
      <c r="D18" s="5"/>
      <c r="E18" s="5"/>
      <c r="F18" s="5"/>
      <c r="G18" s="5"/>
      <c r="H18" s="5"/>
      <c r="I18" s="5"/>
      <c r="J18" s="5"/>
      <c r="K18" s="5"/>
      <c r="L18" s="7"/>
    </row>
    <row r="19" spans="1:12" x14ac:dyDescent="0.2">
      <c r="B19" t="s">
        <v>8</v>
      </c>
      <c r="C19" s="5"/>
      <c r="D19" s="5"/>
      <c r="E19" s="5"/>
      <c r="F19" s="5"/>
      <c r="G19" s="5"/>
      <c r="H19" s="5"/>
      <c r="I19" s="5"/>
      <c r="J19" s="5"/>
      <c r="K19" s="5"/>
      <c r="L19" s="7"/>
    </row>
    <row r="20" spans="1:12" x14ac:dyDescent="0.2">
      <c r="A20" s="4" t="s">
        <v>33</v>
      </c>
      <c r="B20" t="s">
        <v>26</v>
      </c>
      <c r="C20" s="1" t="e">
        <f>((C19*$F$3)*C17)/C16</f>
        <v>#DIV/0!</v>
      </c>
      <c r="D20" s="1"/>
      <c r="E20" s="1"/>
      <c r="L20" s="2"/>
    </row>
    <row r="21" spans="1:12" x14ac:dyDescent="0.2">
      <c r="A21" s="4"/>
      <c r="B21" t="s">
        <v>36</v>
      </c>
      <c r="C21" s="1" t="e">
        <f>C23-C20</f>
        <v>#DIV/0!</v>
      </c>
      <c r="D21" s="1"/>
      <c r="E21" s="1"/>
      <c r="L21" s="2"/>
    </row>
    <row r="22" spans="1:12" x14ac:dyDescent="0.2">
      <c r="A22" s="4" t="s">
        <v>29</v>
      </c>
      <c r="B22" t="s">
        <v>27</v>
      </c>
      <c r="C22" s="1">
        <f>(C17*$C$3*(C19/1000))*$F$3</f>
        <v>0</v>
      </c>
      <c r="D22" s="1"/>
      <c r="E22" s="1"/>
      <c r="L22" s="2"/>
    </row>
    <row r="23" spans="1:12" x14ac:dyDescent="0.2">
      <c r="A23" s="4"/>
      <c r="B23" t="s">
        <v>34</v>
      </c>
      <c r="C23">
        <f>((C18/2*$F$3))*C17</f>
        <v>0</v>
      </c>
    </row>
    <row r="25" spans="1:12" x14ac:dyDescent="0.2">
      <c r="C25" t="s">
        <v>29</v>
      </c>
    </row>
    <row r="26" spans="1:12" x14ac:dyDescent="0.2">
      <c r="C26" t="s">
        <v>30</v>
      </c>
      <c r="D26" s="8">
        <f>SUM(C22:L22)</f>
        <v>0</v>
      </c>
      <c r="E26" t="s">
        <v>25</v>
      </c>
      <c r="G26" s="3"/>
    </row>
    <row r="27" spans="1:12" x14ac:dyDescent="0.2">
      <c r="C27" t="s">
        <v>31</v>
      </c>
      <c r="D27">
        <f>SUM(C23:L23)</f>
        <v>0</v>
      </c>
      <c r="E27" t="s">
        <v>25</v>
      </c>
      <c r="G27" s="3"/>
    </row>
    <row r="29" spans="1:12" x14ac:dyDescent="0.2">
      <c r="A29" s="10"/>
      <c r="B29" s="11" t="s">
        <v>35</v>
      </c>
      <c r="C29" s="12"/>
      <c r="D29" s="12"/>
      <c r="E29" s="12"/>
      <c r="F29" s="12"/>
      <c r="G29" s="12"/>
      <c r="H29" s="12"/>
      <c r="I29" s="12"/>
      <c r="J29" s="12"/>
      <c r="K29" s="12"/>
      <c r="L29" s="13"/>
    </row>
    <row r="30" spans="1:12" x14ac:dyDescent="0.2">
      <c r="A30" s="14"/>
      <c r="B30" s="15" t="s">
        <v>17</v>
      </c>
      <c r="C30" s="15" t="s">
        <v>4</v>
      </c>
      <c r="D30" s="15" t="s">
        <v>5</v>
      </c>
      <c r="E30" s="15" t="s">
        <v>6</v>
      </c>
      <c r="F30" s="15" t="s">
        <v>9</v>
      </c>
      <c r="G30" s="15"/>
      <c r="H30" s="15"/>
      <c r="I30" s="15"/>
      <c r="J30" s="15"/>
      <c r="K30" s="15"/>
      <c r="L30" s="2"/>
    </row>
    <row r="31" spans="1:12" x14ac:dyDescent="0.2">
      <c r="A31" s="14"/>
      <c r="B31" s="15" t="s">
        <v>7</v>
      </c>
      <c r="C31" s="16"/>
      <c r="D31" s="16"/>
      <c r="E31" s="16"/>
      <c r="F31" s="16"/>
      <c r="G31" s="16"/>
      <c r="H31" s="16"/>
      <c r="I31" s="16"/>
      <c r="J31" s="16"/>
      <c r="K31" s="16"/>
      <c r="L31" s="7"/>
    </row>
    <row r="32" spans="1:12" x14ac:dyDescent="0.2">
      <c r="A32" s="14"/>
      <c r="B32" s="15" t="s">
        <v>16</v>
      </c>
      <c r="C32" s="16"/>
      <c r="D32" s="16"/>
      <c r="E32" s="16"/>
      <c r="F32" s="16"/>
      <c r="G32" s="16"/>
      <c r="H32" s="16"/>
      <c r="I32" s="16"/>
      <c r="J32" s="16"/>
      <c r="K32" s="16"/>
      <c r="L32" s="7"/>
    </row>
    <row r="33" spans="1:12" x14ac:dyDescent="0.2">
      <c r="A33" s="14"/>
      <c r="B33" s="15" t="s">
        <v>28</v>
      </c>
      <c r="C33" s="16"/>
      <c r="D33" s="16"/>
      <c r="E33" s="16"/>
      <c r="F33" s="16"/>
      <c r="G33" s="16"/>
      <c r="H33" s="16"/>
      <c r="I33" s="16"/>
      <c r="J33" s="16"/>
      <c r="K33" s="16"/>
      <c r="L33" s="7"/>
    </row>
    <row r="34" spans="1:12" x14ac:dyDescent="0.2">
      <c r="A34" s="14"/>
      <c r="B34" s="15" t="s">
        <v>8</v>
      </c>
      <c r="C34" s="16"/>
      <c r="D34" s="16"/>
      <c r="E34" s="16"/>
      <c r="F34" s="16"/>
      <c r="G34" s="16"/>
      <c r="H34" s="16"/>
      <c r="I34" s="16"/>
      <c r="J34" s="16"/>
      <c r="K34" s="16"/>
      <c r="L34" s="7"/>
    </row>
    <row r="35" spans="1:12" x14ac:dyDescent="0.2">
      <c r="A35" s="17" t="s">
        <v>33</v>
      </c>
      <c r="B35" s="15" t="s">
        <v>26</v>
      </c>
      <c r="C35" s="18" t="e">
        <f>((C34*$F$3)*C32)/C31</f>
        <v>#DIV/0!</v>
      </c>
      <c r="D35" s="18"/>
      <c r="E35" s="18"/>
      <c r="F35" s="15"/>
      <c r="G35" s="15"/>
      <c r="H35" s="15"/>
      <c r="I35" s="15"/>
      <c r="J35" s="15"/>
      <c r="K35" s="15"/>
      <c r="L35" s="2"/>
    </row>
    <row r="36" spans="1:12" x14ac:dyDescent="0.2">
      <c r="A36" s="17"/>
      <c r="B36" s="15" t="s">
        <v>36</v>
      </c>
      <c r="C36" s="18" t="e">
        <f>C38-C35</f>
        <v>#DIV/0!</v>
      </c>
      <c r="D36" s="18"/>
      <c r="E36" s="18"/>
      <c r="F36" s="15"/>
      <c r="G36" s="15"/>
      <c r="H36" s="15"/>
      <c r="I36" s="15"/>
      <c r="J36" s="15"/>
      <c r="K36" s="15"/>
      <c r="L36" s="2"/>
    </row>
    <row r="37" spans="1:12" x14ac:dyDescent="0.2">
      <c r="A37" s="17" t="s">
        <v>29</v>
      </c>
      <c r="B37" s="15" t="s">
        <v>27</v>
      </c>
      <c r="C37" s="18">
        <f>(C32*$C$3*(C34/1000))*$F$3</f>
        <v>0</v>
      </c>
      <c r="D37" s="18"/>
      <c r="E37" s="18"/>
      <c r="F37" s="15"/>
      <c r="G37" s="15"/>
      <c r="H37" s="15"/>
      <c r="I37" s="15"/>
      <c r="J37" s="15"/>
      <c r="K37" s="15"/>
      <c r="L37" s="2"/>
    </row>
    <row r="38" spans="1:12" x14ac:dyDescent="0.2">
      <c r="A38" s="17"/>
      <c r="B38" s="15" t="s">
        <v>34</v>
      </c>
      <c r="C38" s="15">
        <f>((C33/2*$F$3))*C32</f>
        <v>0</v>
      </c>
      <c r="D38" s="15"/>
      <c r="E38" s="15"/>
      <c r="F38" s="15"/>
      <c r="G38" s="15"/>
      <c r="H38" s="15"/>
      <c r="I38" s="15"/>
      <c r="J38" s="15"/>
      <c r="K38" s="15"/>
      <c r="L38" s="2"/>
    </row>
    <row r="39" spans="1:12" x14ac:dyDescent="0.2">
      <c r="A39" s="14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2"/>
    </row>
    <row r="40" spans="1:12" x14ac:dyDescent="0.2">
      <c r="A40" s="14"/>
      <c r="B40" s="15"/>
      <c r="C40" s="15" t="s">
        <v>29</v>
      </c>
      <c r="D40" s="15"/>
      <c r="E40" s="15"/>
      <c r="F40" s="15"/>
      <c r="G40" s="15"/>
      <c r="H40" s="15"/>
      <c r="I40" s="15"/>
      <c r="J40" s="15"/>
      <c r="K40" s="15"/>
      <c r="L40" s="2"/>
    </row>
    <row r="41" spans="1:12" x14ac:dyDescent="0.2">
      <c r="A41" s="14"/>
      <c r="B41" s="15"/>
      <c r="C41" s="15" t="s">
        <v>30</v>
      </c>
      <c r="D41" s="19">
        <f>SUM(C37:L37)</f>
        <v>0</v>
      </c>
      <c r="E41" s="15" t="s">
        <v>25</v>
      </c>
      <c r="F41" s="15"/>
      <c r="G41" s="20"/>
      <c r="H41" s="15"/>
      <c r="I41" s="15"/>
      <c r="J41" s="15"/>
      <c r="K41" s="15"/>
      <c r="L41" s="2"/>
    </row>
    <row r="42" spans="1:12" x14ac:dyDescent="0.2">
      <c r="A42" s="14"/>
      <c r="B42" s="15"/>
      <c r="C42" s="15" t="s">
        <v>31</v>
      </c>
      <c r="D42" s="15">
        <f>SUM(C38:L38)</f>
        <v>0</v>
      </c>
      <c r="E42" s="15" t="s">
        <v>25</v>
      </c>
      <c r="F42" s="15"/>
      <c r="G42" s="20"/>
      <c r="H42" s="15"/>
      <c r="I42" s="15"/>
      <c r="J42" s="15"/>
      <c r="K42" s="15"/>
      <c r="L42" s="2"/>
    </row>
    <row r="43" spans="1:12" x14ac:dyDescent="0.2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3"/>
    </row>
  </sheetData>
  <mergeCells count="6">
    <mergeCell ref="I3:K3"/>
    <mergeCell ref="B12:L12"/>
    <mergeCell ref="A20:A21"/>
    <mergeCell ref="A22:A23"/>
    <mergeCell ref="A35:A36"/>
    <mergeCell ref="A37:A38"/>
  </mergeCell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transfection-example</vt:lpstr>
      <vt:lpstr>transfection-design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Mendes-Silva</dc:creator>
  <cp:lastModifiedBy>Leonardo Mendes-Silva</cp:lastModifiedBy>
  <dcterms:created xsi:type="dcterms:W3CDTF">2020-10-10T11:57:18Z</dcterms:created>
  <dcterms:modified xsi:type="dcterms:W3CDTF">2020-10-10T15:06:50Z</dcterms:modified>
</cp:coreProperties>
</file>